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G_quarterly_balance-sheet" sheetId="1" r:id="rId4"/>
    <sheet state="visible" name="DG_quarterly_pl" sheetId="2" r:id="rId5"/>
    <sheet state="visible" name="Bull Case - DCF" sheetId="3" r:id="rId6"/>
    <sheet state="visible" name="BaseCase - DCF" sheetId="4" r:id="rId7"/>
    <sheet state="visible" name="Bear Case - DCF" sheetId="5" r:id="rId8"/>
    <sheet state="visible" name="DG - Today" sheetId="6" r:id="rId9"/>
  </sheets>
  <definedNames/>
  <calcPr/>
</workbook>
</file>

<file path=xl/sharedStrings.xml><?xml version="1.0" encoding="utf-8"?>
<sst xmlns="http://schemas.openxmlformats.org/spreadsheetml/2006/main" count="194" uniqueCount="158">
  <si>
    <t>name</t>
  </si>
  <si>
    <t>TotalAssets</t>
  </si>
  <si>
    <t>CurrentAssets</t>
  </si>
  <si>
    <t>CashCashEquivalentsAndShortTermInvestments</t>
  </si>
  <si>
    <t>CashAndCashEquivalents</t>
  </si>
  <si>
    <t>OtherShortTermInvestments</t>
  </si>
  <si>
    <t>Receivables</t>
  </si>
  <si>
    <t>TaxesReceivable</t>
  </si>
  <si>
    <t>Inventory</t>
  </si>
  <si>
    <t>FinishedGoods</t>
  </si>
  <si>
    <t>PrepaidAssets</t>
  </si>
  <si>
    <t>CurrentDeferredAssets</t>
  </si>
  <si>
    <t>CurrentDeferredTaxesAssets</t>
  </si>
  <si>
    <t>OtherCurrentAssets</t>
  </si>
  <si>
    <t>TotalNonCurrentAssets</t>
  </si>
  <si>
    <t>NetPPE</t>
  </si>
  <si>
    <t>GrossPPE</t>
  </si>
  <si>
    <t>Properties</t>
  </si>
  <si>
    <t>LandAndImprovements</t>
  </si>
  <si>
    <t>BuildingsAndImprovements</t>
  </si>
  <si>
    <t>MachineryFurnitureEquipment</t>
  </si>
  <si>
    <t>OtherProperties</t>
  </si>
  <si>
    <t>ConstructionInProgress</t>
  </si>
  <si>
    <t>Leases</t>
  </si>
  <si>
    <t>AccumulatedDepreciation</t>
  </si>
  <si>
    <t>GoodwillAndOtherIntangibleAssets</t>
  </si>
  <si>
    <t>Goodwill</t>
  </si>
  <si>
    <t>OtherIntangibleAssets</t>
  </si>
  <si>
    <t>NonCurrentDeferredAssets</t>
  </si>
  <si>
    <t>NonCurrentDeferredTaxesAssets</t>
  </si>
  <si>
    <t>OtherNonCurrentAssets</t>
  </si>
  <si>
    <t>TotalLiabilitiesNetMinorityInterest</t>
  </si>
  <si>
    <t>CurrentLiabilities</t>
  </si>
  <si>
    <t>PayablesAndAccruedExpenses</t>
  </si>
  <si>
    <t>Payables</t>
  </si>
  <si>
    <t>AccountsPayable</t>
  </si>
  <si>
    <t>TotalTaxPayable</t>
  </si>
  <si>
    <t>IncomeTaxPayable</t>
  </si>
  <si>
    <t>OtherPayable</t>
  </si>
  <si>
    <t>CurrentAccruedExpenses</t>
  </si>
  <si>
    <t>CurrentProvisions</t>
  </si>
  <si>
    <t>PensionandOtherPostRetirementBenefitPlansCurrent</t>
  </si>
  <si>
    <t>CurrentDebtAndCapitalLeaseObligation</t>
  </si>
  <si>
    <t>CurrentDebt</t>
  </si>
  <si>
    <t>OtherCurrentBorrowings</t>
  </si>
  <si>
    <t>CurrentCapitalLeaseObligation</t>
  </si>
  <si>
    <t>CurrentDeferredLiabilities</t>
  </si>
  <si>
    <t>CurrentDeferredTaxesLiabilities</t>
  </si>
  <si>
    <t>OtherCurrentLiabilities</t>
  </si>
  <si>
    <t>TotalNonCurrentLiabilitiesNetMinorityInterest</t>
  </si>
  <si>
    <t>LongTermProvisions</t>
  </si>
  <si>
    <t>LongTermDebtAndCapitalLeaseObligation</t>
  </si>
  <si>
    <t>LongTermDebt</t>
  </si>
  <si>
    <t>LongTermCapitalLeaseObligation</t>
  </si>
  <si>
    <t>NonCurrentDeferredLiabilities</t>
  </si>
  <si>
    <t>NonCurrentDeferredTaxesLiabilities</t>
  </si>
  <si>
    <t>NonCurrentDeferredRevenue</t>
  </si>
  <si>
    <t>TradeandOtherPayablesNonCurrent</t>
  </si>
  <si>
    <t>NonCurrentAccruedExpenses</t>
  </si>
  <si>
    <t>EmployeeBenefits</t>
  </si>
  <si>
    <t>RestrictedCommonStock</t>
  </si>
  <si>
    <t>OtherNonCurrentLiabilities</t>
  </si>
  <si>
    <t>TotalEquityGrossMinorityInterest</t>
  </si>
  <si>
    <t>StockholdersEquity</t>
  </si>
  <si>
    <t>CapitalStock</t>
  </si>
  <si>
    <t>PreferredStock</t>
  </si>
  <si>
    <t>CommonStock</t>
  </si>
  <si>
    <t>AdditionalPaidInCapital</t>
  </si>
  <si>
    <t>RetainedEarnings</t>
  </si>
  <si>
    <t>TreasuryStock</t>
  </si>
  <si>
    <t>GainsLossesNotAffectingRetainedEarnings</t>
  </si>
  <si>
    <t>OtherEquityAdjustments</t>
  </si>
  <si>
    <t>OtherEquityInterest</t>
  </si>
  <si>
    <t>TotalCapitalization</t>
  </si>
  <si>
    <t>PreferredStockEquity</t>
  </si>
  <si>
    <t>CommonStockEquity</t>
  </si>
  <si>
    <t>CapitalLeaseObligations</t>
  </si>
  <si>
    <t>NetTangibleAssets</t>
  </si>
  <si>
    <t>WorkingCapital</t>
  </si>
  <si>
    <t>InvestedCapital</t>
  </si>
  <si>
    <t>TangibleBookValue</t>
  </si>
  <si>
    <t>TotalDebt</t>
  </si>
  <si>
    <t>NetDebt</t>
  </si>
  <si>
    <t>ShareIssued</t>
  </si>
  <si>
    <t>OrdinarySharesNumber</t>
  </si>
  <si>
    <t>ttm</t>
  </si>
  <si>
    <t>TotalRevenue</t>
  </si>
  <si>
    <t>OperatingRevenue</t>
  </si>
  <si>
    <t>CostOfRevenue</t>
  </si>
  <si>
    <t>GrossProfit</t>
  </si>
  <si>
    <t>OperatingExpense</t>
  </si>
  <si>
    <t>SellingGeneralAndAdministration</t>
  </si>
  <si>
    <t>DepreciationAmortizationDepletionIncomeStatement</t>
  </si>
  <si>
    <t>DepreciationAndAmortizationInIncomeStatement</t>
  </si>
  <si>
    <t>DepreciationIncomeStatement</t>
  </si>
  <si>
    <t>OperatingIncome</t>
  </si>
  <si>
    <t>NetNonOperatingInterestIncomeExpense</t>
  </si>
  <si>
    <t>InterestIncomeNonOperating</t>
  </si>
  <si>
    <t>InterestExpenseNonOperating</t>
  </si>
  <si>
    <t>TotalOtherFinanceCost</t>
  </si>
  <si>
    <t>OtherIncomeExpense</t>
  </si>
  <si>
    <t>SpecialIncomeCharges</t>
  </si>
  <si>
    <t>OtherSpecialCharges</t>
  </si>
  <si>
    <t>OtherNonOperatingIncomeExpenses</t>
  </si>
  <si>
    <t>PretaxIncome</t>
  </si>
  <si>
    <t>TaxProvision</t>
  </si>
  <si>
    <t>NetIncomeCommonStockholders</t>
  </si>
  <si>
    <t>NetIncome</t>
  </si>
  <si>
    <t>NetIncomeIncludingNoncontrollingInterests</t>
  </si>
  <si>
    <t>NetIncomeContinuousOperations</t>
  </si>
  <si>
    <t>PreferredStockDividends</t>
  </si>
  <si>
    <t>DilutedNIAvailtoComStockholders</t>
  </si>
  <si>
    <t>BasicEPS</t>
  </si>
  <si>
    <t>DilutedEPS</t>
  </si>
  <si>
    <t>BasicAverageShares</t>
  </si>
  <si>
    <t>DilutedAverageShares</t>
  </si>
  <si>
    <t>TotalOperatingIncomeAsReported</t>
  </si>
  <si>
    <t>TotalExpenses</t>
  </si>
  <si>
    <t>NetIncomeFromContinuingAndDiscontinuedOperation</t>
  </si>
  <si>
    <t>NormalizedIncome</t>
  </si>
  <si>
    <t>InterestIncome</t>
  </si>
  <si>
    <t>InterestExpense</t>
  </si>
  <si>
    <t>NetInterestIncome</t>
  </si>
  <si>
    <t>EBIT</t>
  </si>
  <si>
    <t>EBITDA</t>
  </si>
  <si>
    <t>ReconciledCostOfRevenue</t>
  </si>
  <si>
    <t>ReconciledDepreciation</t>
  </si>
  <si>
    <t>NetIncomeFromContinuingOperationNetMinorityInterest</t>
  </si>
  <si>
    <t>TotalUnusualItemsExcludingGoodwill</t>
  </si>
  <si>
    <t>TotalUnusualItems</t>
  </si>
  <si>
    <t>NormalizedEBITDA</t>
  </si>
  <si>
    <t>TaxRateForCalcs</t>
  </si>
  <si>
    <t>TaxEffectOfUnusualItems</t>
  </si>
  <si>
    <t xml:space="preserve">Base Case </t>
  </si>
  <si>
    <t>Exit Revenue</t>
  </si>
  <si>
    <t>Revenue</t>
  </si>
  <si>
    <t>NI %</t>
  </si>
  <si>
    <t>Net Income</t>
  </si>
  <si>
    <t>Diluted Shares</t>
  </si>
  <si>
    <t>Diluted ESPI</t>
  </si>
  <si>
    <t>10 YEAR TBILL</t>
  </si>
  <si>
    <t>BETA</t>
  </si>
  <si>
    <t>% Equity</t>
  </si>
  <si>
    <t>% Debt</t>
  </si>
  <si>
    <t>Effective Interest</t>
  </si>
  <si>
    <t>CAPM</t>
  </si>
  <si>
    <t>WACC</t>
  </si>
  <si>
    <t xml:space="preserve">P/S </t>
  </si>
  <si>
    <t>NPV</t>
  </si>
  <si>
    <t>Exit Valuation</t>
  </si>
  <si>
    <t>Total Valuation</t>
  </si>
  <si>
    <t xml:space="preserve">This case assumes regression forecast on revenue is accurate and net margins are maintained. </t>
  </si>
  <si>
    <t>This case assumes no growth over the holding preiod, but maintains the .86 price to sales.</t>
  </si>
  <si>
    <t xml:space="preserve">Terminal val exit P/S </t>
  </si>
  <si>
    <t>This case assumes revenue decline of .05% per quarter over the holding preiod and assumes a .75 price to sales.</t>
  </si>
  <si>
    <t>Yahoo finc</t>
  </si>
  <si>
    <t>Macro trends</t>
  </si>
  <si>
    <t>Cnbc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</si>
</sst>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m/d/yyyy"/>
    <numFmt numFmtId="166" formatCode="&quot;$&quot;#,##0.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155CC"/>
      <name val="Arial"/>
      <scheme val="minor"/>
    </font>
    <font>
      <b/>
      <color theme="1"/>
      <name val="Arial"/>
      <scheme val="minor"/>
    </font>
    <font>
      <b/>
      <color rgb="FF1155CC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double">
        <color rgb="FF000000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horizontal="right" vertical="bottom"/>
    </xf>
    <xf borderId="0" fillId="0" fontId="3" numFmtId="166" xfId="0" applyFont="1" applyNumberFormat="1"/>
    <xf borderId="0" fillId="0" fontId="1" numFmtId="166" xfId="0" applyFont="1" applyNumberFormat="1"/>
    <xf borderId="0" fillId="0" fontId="3" numFmtId="0" xfId="0" applyFont="1"/>
    <xf borderId="0" fillId="0" fontId="3" numFmtId="10" xfId="0" applyFont="1" applyNumberFormat="1"/>
    <xf borderId="0" fillId="0" fontId="1" numFmtId="10" xfId="0" applyFont="1" applyNumberFormat="1"/>
    <xf borderId="0" fillId="0" fontId="3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3" xfId="0" applyFont="1" applyNumberFormat="1"/>
    <xf borderId="0" fillId="0" fontId="1" numFmtId="3" xfId="0" applyFont="1" applyNumberFormat="1"/>
    <xf borderId="0" fillId="0" fontId="1" numFmtId="10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1" fillId="0" fontId="4" numFmtId="0" xfId="0" applyAlignment="1" applyBorder="1" applyFont="1">
      <alignment readingOrder="0"/>
    </xf>
    <xf borderId="1" fillId="0" fontId="5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295275</xdr:colOff>
      <xdr:row>5</xdr:row>
      <xdr:rowOff>-171450</xdr:rowOff>
    </xdr:from>
    <xdr:ext cx="10582275" cy="453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628650</xdr:colOff>
      <xdr:row>7</xdr:row>
      <xdr:rowOff>-114300</xdr:rowOff>
    </xdr:from>
    <xdr:ext cx="4800600" cy="407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30</xdr:row>
      <xdr:rowOff>152400</xdr:rowOff>
    </xdr:from>
    <xdr:ext cx="3829050" cy="40767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</cols>
  <sheetData>
    <row r="1">
      <c r="A1" s="1" t="s">
        <v>0</v>
      </c>
      <c r="B1" s="2">
        <v>45138.0</v>
      </c>
      <c r="C1" s="2">
        <v>45046.0</v>
      </c>
      <c r="D1" s="2">
        <v>44957.0</v>
      </c>
      <c r="E1" s="3">
        <v>44865.0</v>
      </c>
      <c r="F1" s="2">
        <v>44773.0</v>
      </c>
      <c r="G1" s="2">
        <v>44681.0</v>
      </c>
      <c r="H1" s="2">
        <v>44592.0</v>
      </c>
      <c r="I1" s="3">
        <v>44500.0</v>
      </c>
      <c r="J1" s="2">
        <v>44408.0</v>
      </c>
      <c r="K1" s="2">
        <v>44316.0</v>
      </c>
      <c r="L1" s="2">
        <v>44227.0</v>
      </c>
      <c r="M1" s="3">
        <v>44135.0</v>
      </c>
      <c r="N1" s="2">
        <v>44043.0</v>
      </c>
      <c r="O1" s="2">
        <v>43951.0</v>
      </c>
      <c r="P1" s="2">
        <v>43861.0</v>
      </c>
      <c r="Q1" s="3">
        <v>43769.0</v>
      </c>
      <c r="R1" s="2">
        <v>43677.0</v>
      </c>
      <c r="S1" s="2">
        <v>43585.0</v>
      </c>
      <c r="T1" s="2">
        <v>43496.0</v>
      </c>
      <c r="U1" s="3">
        <v>43404.0</v>
      </c>
      <c r="V1" s="2">
        <v>43312.0</v>
      </c>
      <c r="W1" s="2">
        <v>43220.0</v>
      </c>
      <c r="X1" s="2">
        <v>43131.0</v>
      </c>
      <c r="Y1" s="3">
        <v>43039.0</v>
      </c>
      <c r="Z1" s="2">
        <v>42947.0</v>
      </c>
      <c r="AA1" s="2">
        <v>42855.0</v>
      </c>
      <c r="AB1" s="2">
        <v>42766.0</v>
      </c>
      <c r="AC1" s="3">
        <v>42674.0</v>
      </c>
      <c r="AD1" s="2">
        <v>42582.0</v>
      </c>
      <c r="AE1" s="2">
        <v>42490.0</v>
      </c>
      <c r="AF1" s="2">
        <v>42400.0</v>
      </c>
      <c r="AG1" s="3">
        <v>42308.0</v>
      </c>
      <c r="AH1" s="2">
        <v>42216.0</v>
      </c>
      <c r="AI1" s="2">
        <v>42124.0</v>
      </c>
      <c r="AJ1" s="2">
        <v>42035.0</v>
      </c>
      <c r="AK1" s="3">
        <v>41943.0</v>
      </c>
      <c r="AL1" s="2">
        <v>41851.0</v>
      </c>
      <c r="AM1" s="2">
        <v>41759.0</v>
      </c>
      <c r="AN1" s="2">
        <v>41670.0</v>
      </c>
      <c r="AO1" s="3">
        <v>41578.0</v>
      </c>
      <c r="AP1" s="2">
        <v>41486.0</v>
      </c>
      <c r="AQ1" s="2">
        <v>41394.0</v>
      </c>
      <c r="AR1" s="2">
        <v>41305.0</v>
      </c>
      <c r="AS1" s="3">
        <v>41213.0</v>
      </c>
      <c r="AT1" s="2">
        <v>41121.0</v>
      </c>
      <c r="AU1" s="2">
        <v>41029.0</v>
      </c>
      <c r="AV1" s="2">
        <v>40939.0</v>
      </c>
      <c r="AW1" s="3">
        <v>40847.0</v>
      </c>
      <c r="AX1" s="2">
        <v>40755.0</v>
      </c>
      <c r="AY1" s="2">
        <v>40663.0</v>
      </c>
      <c r="AZ1" s="2">
        <v>40574.0</v>
      </c>
      <c r="BA1" s="3">
        <v>40482.0</v>
      </c>
      <c r="BB1" s="2">
        <v>40390.0</v>
      </c>
      <c r="BC1" s="2">
        <v>40298.0</v>
      </c>
      <c r="BD1" s="2">
        <v>40209.0</v>
      </c>
      <c r="BE1" s="3">
        <v>40117.0</v>
      </c>
      <c r="BF1" s="2">
        <v>40025.0</v>
      </c>
      <c r="BG1" s="2">
        <v>39933.0</v>
      </c>
      <c r="BH1" s="2">
        <v>39844.0</v>
      </c>
      <c r="BI1" s="3">
        <v>39752.0</v>
      </c>
      <c r="BJ1" s="2">
        <v>39660.0</v>
      </c>
      <c r="BK1" s="2">
        <v>39568.0</v>
      </c>
      <c r="BL1" s="2">
        <v>39478.0</v>
      </c>
      <c r="BM1" s="2">
        <v>39202.0</v>
      </c>
      <c r="BN1" s="2">
        <v>39113.0</v>
      </c>
      <c r="BO1" s="3">
        <v>39021.0</v>
      </c>
      <c r="BP1" s="2">
        <v>38929.0</v>
      </c>
      <c r="BQ1" s="2">
        <v>38837.0</v>
      </c>
      <c r="BR1" s="2">
        <v>38748.0</v>
      </c>
      <c r="BS1" s="3">
        <v>38656.0</v>
      </c>
      <c r="BT1" s="2">
        <v>38564.0</v>
      </c>
      <c r="BU1" s="2">
        <v>38472.0</v>
      </c>
      <c r="BV1" s="2">
        <v>38383.0</v>
      </c>
      <c r="BW1" s="3">
        <v>38291.0</v>
      </c>
      <c r="BX1" s="2">
        <v>38199.0</v>
      </c>
      <c r="BY1" s="2">
        <v>38107.0</v>
      </c>
      <c r="BZ1" s="2">
        <v>38017.0</v>
      </c>
      <c r="CA1" s="3">
        <v>37925.0</v>
      </c>
      <c r="CB1" s="2">
        <v>37833.0</v>
      </c>
      <c r="CC1" s="2">
        <v>37741.0</v>
      </c>
      <c r="CD1" s="2">
        <v>37652.0</v>
      </c>
      <c r="CE1" s="3">
        <v>37560.0</v>
      </c>
      <c r="CF1" s="2">
        <v>37468.0</v>
      </c>
      <c r="CG1" s="2">
        <v>37376.0</v>
      </c>
      <c r="CH1" s="2">
        <v>37287.0</v>
      </c>
      <c r="CI1" s="3">
        <v>37195.0</v>
      </c>
      <c r="CJ1" s="2">
        <v>37103.0</v>
      </c>
      <c r="CK1" s="2">
        <v>37011.0</v>
      </c>
      <c r="CL1" s="2">
        <v>36922.0</v>
      </c>
      <c r="CM1" s="3">
        <v>36830.0</v>
      </c>
      <c r="CN1" s="2">
        <v>36738.0</v>
      </c>
      <c r="CO1" s="2">
        <v>36646.0</v>
      </c>
      <c r="CP1" s="2">
        <v>36556.0</v>
      </c>
      <c r="CQ1" s="3">
        <v>36464.0</v>
      </c>
      <c r="CR1" s="2">
        <v>36372.0</v>
      </c>
      <c r="CS1" s="2">
        <v>36280.0</v>
      </c>
      <c r="CT1" s="2">
        <v>36191.0</v>
      </c>
      <c r="CU1" s="3">
        <v>36099.0</v>
      </c>
      <c r="CV1" s="2">
        <v>36007.0</v>
      </c>
      <c r="CW1" s="2">
        <v>35915.0</v>
      </c>
      <c r="CX1" s="2">
        <v>35826.0</v>
      </c>
      <c r="CY1" s="3">
        <v>35734.0</v>
      </c>
      <c r="CZ1" s="2">
        <v>35642.0</v>
      </c>
      <c r="DA1" s="2">
        <v>35550.0</v>
      </c>
      <c r="DB1" s="2">
        <v>35461.0</v>
      </c>
      <c r="DC1" s="3">
        <v>35369.0</v>
      </c>
      <c r="DD1" s="2">
        <v>35277.0</v>
      </c>
      <c r="DE1" s="2">
        <v>35185.0</v>
      </c>
      <c r="DF1" s="2">
        <v>35095.0</v>
      </c>
      <c r="DG1" s="3">
        <v>35003.0</v>
      </c>
      <c r="DH1" s="2">
        <v>34911.0</v>
      </c>
      <c r="DI1" s="2">
        <v>34819.0</v>
      </c>
      <c r="DJ1" s="2">
        <v>34730.0</v>
      </c>
      <c r="DK1" s="3">
        <v>34638.0</v>
      </c>
      <c r="DL1" s="2">
        <v>34546.0</v>
      </c>
      <c r="DM1" s="2">
        <v>34454.0</v>
      </c>
      <c r="DN1" s="2">
        <v>34365.0</v>
      </c>
      <c r="DO1" s="3">
        <v>34273.0</v>
      </c>
      <c r="DP1" s="2">
        <v>34181.0</v>
      </c>
      <c r="DQ1" s="2">
        <v>34089.0</v>
      </c>
      <c r="DR1" s="2">
        <v>34000.0</v>
      </c>
      <c r="DS1" s="3">
        <v>33908.0</v>
      </c>
      <c r="DT1" s="2">
        <v>33816.0</v>
      </c>
      <c r="DU1" s="2">
        <v>33724.0</v>
      </c>
      <c r="DV1" s="2">
        <v>33634.0</v>
      </c>
      <c r="DW1" s="3">
        <v>33542.0</v>
      </c>
      <c r="DX1" s="2">
        <v>33450.0</v>
      </c>
      <c r="DY1" s="2">
        <v>33358.0</v>
      </c>
      <c r="DZ1" s="2">
        <v>33269.0</v>
      </c>
      <c r="EA1" s="3">
        <v>33177.0</v>
      </c>
      <c r="EB1" s="2">
        <v>33085.0</v>
      </c>
      <c r="EC1" s="2">
        <v>32993.0</v>
      </c>
      <c r="ED1" s="2">
        <v>32904.0</v>
      </c>
      <c r="EE1" s="3">
        <v>32812.0</v>
      </c>
      <c r="EF1" s="2">
        <v>32720.0</v>
      </c>
      <c r="EG1" s="2">
        <v>32539.0</v>
      </c>
      <c r="EH1" s="3">
        <v>32142.0</v>
      </c>
      <c r="EI1" s="3">
        <v>31777.0</v>
      </c>
      <c r="EJ1" s="3">
        <v>31412.0</v>
      </c>
    </row>
    <row r="2">
      <c r="A2" s="1" t="s">
        <v>1</v>
      </c>
      <c r="B2" s="4">
        <v>3.0395557E10</v>
      </c>
      <c r="C2" s="4">
        <v>2.9803933E10</v>
      </c>
      <c r="D2" s="4">
        <v>2.9083367E10</v>
      </c>
      <c r="E2" s="4">
        <v>2.9007158E10</v>
      </c>
      <c r="F2" s="4">
        <v>2.8239256E10</v>
      </c>
      <c r="G2" s="4">
        <v>2.6956308E10</v>
      </c>
      <c r="H2" s="4">
        <v>2.6327371E10</v>
      </c>
      <c r="I2" s="4">
        <v>2.5925302E10</v>
      </c>
      <c r="J2" s="4">
        <v>2.5487808E10</v>
      </c>
      <c r="K2" s="4">
        <v>2.5236698E10</v>
      </c>
      <c r="L2" s="4">
        <v>2.5862624E10</v>
      </c>
      <c r="M2" s="4">
        <v>2.6153442E10</v>
      </c>
      <c r="N2" s="4">
        <v>2.5847433E10</v>
      </c>
      <c r="O2" s="4">
        <v>2.4848313E10</v>
      </c>
      <c r="P2" s="4">
        <v>2.2825084E10</v>
      </c>
      <c r="Q2" s="4">
        <v>2.241279E10</v>
      </c>
      <c r="R2" s="4">
        <v>2.1917529E10</v>
      </c>
      <c r="S2" s="4">
        <v>2.1304284E10</v>
      </c>
      <c r="T2" s="4">
        <v>1.3204038E10</v>
      </c>
      <c r="U2" s="4">
        <v>1.3121021E10</v>
      </c>
      <c r="V2" s="4">
        <v>1.2943949E10</v>
      </c>
      <c r="W2" s="4">
        <v>1.249323E10</v>
      </c>
      <c r="X2" s="4">
        <v>1.2516911E10</v>
      </c>
      <c r="Y2" s="4">
        <v>1.2374756E10</v>
      </c>
      <c r="Z2" s="4">
        <v>1.2120824E10</v>
      </c>
      <c r="AA2" s="4">
        <v>1.1796355E10</v>
      </c>
      <c r="AB2" s="4">
        <v>1.1672298E10</v>
      </c>
      <c r="AC2" s="4">
        <v>1.1917076E10</v>
      </c>
      <c r="AD2" s="4">
        <v>1.161737E10</v>
      </c>
      <c r="AE2" s="4">
        <v>1.1316384E10</v>
      </c>
      <c r="AF2" s="4">
        <v>1.1257885E10</v>
      </c>
      <c r="AG2" s="4">
        <v>1.1288293E10</v>
      </c>
      <c r="AH2" s="4">
        <v>1.1195195E10</v>
      </c>
      <c r="AI2" s="4">
        <v>1.095655E10</v>
      </c>
      <c r="AJ2" s="4">
        <v>1.1224104E10</v>
      </c>
      <c r="AK2" s="4">
        <v>1.0877372E10</v>
      </c>
      <c r="AL2" s="4">
        <v>1.0825794E10</v>
      </c>
      <c r="AM2" s="4">
        <v>1.0601884E10</v>
      </c>
      <c r="AN2" s="4">
        <v>1.0867524E10</v>
      </c>
      <c r="AO2" s="4">
        <v>1.0775974E10</v>
      </c>
      <c r="AP2" s="4">
        <v>1.069963E10</v>
      </c>
      <c r="AQ2" s="4">
        <v>1.0493697E10</v>
      </c>
      <c r="AR2" s="4">
        <v>1.0367682E10</v>
      </c>
      <c r="AS2" s="4">
        <v>1.0273677E10</v>
      </c>
      <c r="AT2" s="4">
        <v>1.0103474E10</v>
      </c>
      <c r="AU2" s="4">
        <v>9.770208E9</v>
      </c>
      <c r="AV2" s="4">
        <v>9.68852E9</v>
      </c>
      <c r="AW2" s="4">
        <v>9.735882E9</v>
      </c>
      <c r="AX2" s="4">
        <v>9.529103E9</v>
      </c>
      <c r="AY2" s="4">
        <v>9.714864E9</v>
      </c>
      <c r="AZ2" s="4">
        <v>9.546222E9</v>
      </c>
      <c r="BA2" s="4">
        <v>9.349574E9</v>
      </c>
      <c r="BB2" s="4">
        <v>9.179474E9</v>
      </c>
      <c r="BC2" s="4">
        <v>8.977076E9</v>
      </c>
      <c r="BD2" s="4">
        <v>8.863519E9</v>
      </c>
      <c r="BE2" s="4">
        <v>9.132532E9</v>
      </c>
      <c r="BF2" s="4">
        <v>9.139944E9</v>
      </c>
      <c r="BG2" s="4">
        <v>8.978801E9</v>
      </c>
      <c r="BH2" s="4">
        <v>8.889199E9</v>
      </c>
      <c r="BI2" s="4">
        <v>8.940101E9</v>
      </c>
      <c r="BJ2" s="4">
        <v>8.90979E9</v>
      </c>
      <c r="BK2" s="4">
        <v>8.662999E9</v>
      </c>
      <c r="BL2" s="4">
        <v>8.656431E9</v>
      </c>
      <c r="BM2" s="4">
        <v>3.074309E9</v>
      </c>
      <c r="BN2" s="4">
        <v>3.040514E9</v>
      </c>
      <c r="BO2" s="4">
        <v>3.206303E9</v>
      </c>
      <c r="BP2" s="4">
        <v>3.245197E9</v>
      </c>
      <c r="BQ2" s="4">
        <v>3.063467E9</v>
      </c>
      <c r="BR2" s="4">
        <v>2.992187E9</v>
      </c>
      <c r="BS2" s="4">
        <v>2.930781E9</v>
      </c>
      <c r="BT2" s="4">
        <v>2.840366E9</v>
      </c>
      <c r="BU2" s="4">
        <v>2.904538E9</v>
      </c>
      <c r="BV2" s="4">
        <v>2.841004E9</v>
      </c>
      <c r="BW2" s="4">
        <v>2.828017E9</v>
      </c>
      <c r="BX2" s="4">
        <v>2.655005E9</v>
      </c>
      <c r="BY2" s="4">
        <v>2.673769E9</v>
      </c>
      <c r="BZ2" s="4">
        <v>2.652709E9</v>
      </c>
      <c r="CA2" s="4">
        <v>2.589194E9</v>
      </c>
      <c r="CB2" s="4">
        <v>2.365381E9</v>
      </c>
      <c r="CC2" s="4">
        <v>2.355967E9</v>
      </c>
      <c r="CD2" s="4">
        <v>2.333153E9</v>
      </c>
      <c r="CE2" s="4">
        <v>2.411164E9</v>
      </c>
      <c r="CF2" s="4">
        <v>2.265229E9</v>
      </c>
      <c r="CG2" s="4">
        <v>2.588732E9</v>
      </c>
      <c r="CH2" s="4">
        <v>2.552385E9</v>
      </c>
      <c r="CI2" s="4">
        <v>2.469266E9</v>
      </c>
      <c r="CJ2" s="4">
        <v>2.330324E9</v>
      </c>
      <c r="CK2" s="4">
        <v>2.301594E9</v>
      </c>
      <c r="CL2" s="4">
        <v>2.282462E9</v>
      </c>
      <c r="CM2" s="4">
        <v>1.768009E9</v>
      </c>
      <c r="CN2" s="4">
        <v>1.626962E9</v>
      </c>
      <c r="CO2" s="4">
        <v>1.51827E9</v>
      </c>
      <c r="CP2" s="4">
        <v>1.450941E9</v>
      </c>
      <c r="CQ2" s="4">
        <v>1.5491E9</v>
      </c>
      <c r="CR2" s="4">
        <v>1.3421E9</v>
      </c>
      <c r="CS2" s="4">
        <v>1.3254E9</v>
      </c>
      <c r="CT2" s="4">
        <v>1.211784E9</v>
      </c>
      <c r="CU2" s="4">
        <v>1.299E9</v>
      </c>
      <c r="CV2" s="4">
        <v>1.1512E9</v>
      </c>
      <c r="CW2" s="4">
        <v>1.0165E9</v>
      </c>
      <c r="CX2" s="4">
        <v>9.14838E8</v>
      </c>
      <c r="CY2" s="4">
        <v>1.0196E9</v>
      </c>
      <c r="CZ2" s="4">
        <v>8.646E8</v>
      </c>
      <c r="DA2" s="4">
        <v>7.96E8</v>
      </c>
      <c r="DB2" s="4">
        <v>7.18147E8</v>
      </c>
      <c r="DC2" s="4">
        <v>8.45E8</v>
      </c>
      <c r="DD2" s="4">
        <v>7.199E8</v>
      </c>
      <c r="DE2" s="4">
        <v>7.326E8</v>
      </c>
      <c r="DF2" s="4">
        <v>6.79996E8</v>
      </c>
      <c r="DG2" s="4">
        <v>7.69E8</v>
      </c>
      <c r="DH2" s="4">
        <v>6.47E8</v>
      </c>
      <c r="DI2" s="4">
        <v>6.22E8</v>
      </c>
      <c r="DJ2" s="4">
        <v>5.40868E8</v>
      </c>
      <c r="DK2" s="4">
        <v>5.549E8</v>
      </c>
      <c r="DL2" s="4">
        <v>4.81E8</v>
      </c>
      <c r="DM2" s="4">
        <v>4.398E8</v>
      </c>
      <c r="DN2" s="4">
        <v>3.972E8</v>
      </c>
      <c r="DO2" s="4">
        <v>4.544E8</v>
      </c>
      <c r="DP2" s="4">
        <v>3.762E8</v>
      </c>
      <c r="DQ2" s="4">
        <v>3.74E8</v>
      </c>
      <c r="DR2" s="4">
        <v>3.164E8</v>
      </c>
      <c r="DS2" s="4">
        <v>3.575E8</v>
      </c>
      <c r="DT2" s="4">
        <v>2.979E8</v>
      </c>
      <c r="DU2" s="4">
        <v>2.928E8</v>
      </c>
      <c r="DV2" s="4">
        <v>2.373E8</v>
      </c>
      <c r="DW2" s="4">
        <v>2.97E8</v>
      </c>
      <c r="DX2" s="4">
        <v>2.6E8</v>
      </c>
      <c r="DY2" s="4">
        <v>2.441E8</v>
      </c>
      <c r="DZ2" s="4">
        <v>2.077E8</v>
      </c>
      <c r="EA2" s="4">
        <v>2.699E8</v>
      </c>
      <c r="EB2" s="4">
        <v>2.455E8</v>
      </c>
      <c r="EC2" s="4">
        <v>2.488E8</v>
      </c>
      <c r="ED2" s="4">
        <v>1.938E8</v>
      </c>
      <c r="EE2" s="4">
        <v>2.499E8</v>
      </c>
      <c r="EF2" s="4">
        <v>2.299E8</v>
      </c>
      <c r="EG2" s="4">
        <v>2.103E8</v>
      </c>
      <c r="EH2" s="4">
        <v>2.249E8</v>
      </c>
      <c r="EI2" s="4">
        <v>2.324E8</v>
      </c>
      <c r="EJ2" s="4">
        <v>2.276E8</v>
      </c>
    </row>
    <row r="3">
      <c r="A3" s="1" t="s">
        <v>2</v>
      </c>
      <c r="B3" s="4">
        <v>8.413979E9</v>
      </c>
      <c r="C3" s="4">
        <v>8.05546E9</v>
      </c>
      <c r="D3" s="4">
        <v>7.581009E9</v>
      </c>
      <c r="E3" s="4">
        <v>8.017016E9</v>
      </c>
      <c r="F3" s="4">
        <v>7.682892E9</v>
      </c>
      <c r="G3" s="4">
        <v>6.73687E9</v>
      </c>
      <c r="H3" s="4">
        <v>6.303843E9</v>
      </c>
      <c r="I3" s="4">
        <v>6.181834E9</v>
      </c>
      <c r="J3" s="4">
        <v>5.992718E9</v>
      </c>
      <c r="K3" s="4">
        <v>6.041745E9</v>
      </c>
      <c r="L3" s="4">
        <v>6.914219E9</v>
      </c>
      <c r="M3" s="4">
        <v>7.533432E9</v>
      </c>
      <c r="N3" s="4">
        <v>7.597408E9</v>
      </c>
      <c r="O3" s="4">
        <v>6.992483E9</v>
      </c>
      <c r="P3" s="4">
        <v>5.177868E9</v>
      </c>
      <c r="Q3" s="4">
        <v>5.068542E9</v>
      </c>
      <c r="R3" s="4">
        <v>4.919138E9</v>
      </c>
      <c r="S3" s="4">
        <v>4.583769E9</v>
      </c>
      <c r="T3" s="4">
        <v>4.66302E9</v>
      </c>
      <c r="U3" s="4">
        <v>4.630344E9</v>
      </c>
      <c r="V3" s="4">
        <v>4.517826E9</v>
      </c>
      <c r="W3" s="4">
        <v>4.166036E9</v>
      </c>
      <c r="X3" s="4">
        <v>4.247852E9</v>
      </c>
      <c r="Y3" s="4">
        <v>4.153334E9</v>
      </c>
      <c r="Z3" s="4">
        <v>3.979991E9</v>
      </c>
      <c r="AA3" s="4">
        <v>3.748949E9</v>
      </c>
      <c r="AB3" s="4">
        <v>3.677771E9</v>
      </c>
      <c r="AC3" s="4">
        <v>3.968512E9</v>
      </c>
      <c r="AD3" s="4">
        <v>3.708051E9</v>
      </c>
      <c r="AE3" s="4">
        <v>3.477346E9</v>
      </c>
      <c r="AF3" s="4">
        <v>3.43241E9</v>
      </c>
      <c r="AG3" s="4">
        <v>3.488775E9</v>
      </c>
      <c r="AH3" s="4">
        <v>3.424847E9</v>
      </c>
      <c r="AI3" s="4">
        <v>3.2449E9</v>
      </c>
      <c r="AJ3" s="4">
        <v>3.532609E9</v>
      </c>
      <c r="AK3" s="4">
        <v>3.179132E9</v>
      </c>
      <c r="AL3" s="4">
        <v>3.140631E9</v>
      </c>
      <c r="AM3" s="4">
        <v>2.943346E9</v>
      </c>
      <c r="AN3" s="4">
        <v>3.205607E9</v>
      </c>
      <c r="AO3" s="4">
        <v>2.904302E9</v>
      </c>
      <c r="AP3" s="4">
        <v>2.864743E9</v>
      </c>
      <c r="AQ3" s="4">
        <v>2.724476E9</v>
      </c>
      <c r="AR3" s="4">
        <v>2.677113E9</v>
      </c>
      <c r="AS3" s="4">
        <v>2.618192E9</v>
      </c>
      <c r="AT3" s="4">
        <v>2.514444E9</v>
      </c>
      <c r="AU3" s="4">
        <v>2.273735E9</v>
      </c>
      <c r="AV3" s="4">
        <v>2.275074E9</v>
      </c>
      <c r="AW3" s="4">
        <v>2.392855E9</v>
      </c>
      <c r="AX3" s="4">
        <v>2.272781E9</v>
      </c>
      <c r="AY3" s="4">
        <v>2.506897E9</v>
      </c>
      <c r="AZ3" s="4">
        <v>2.367825E9</v>
      </c>
      <c r="BA3" s="4">
        <v>2.272758E9</v>
      </c>
      <c r="BB3" s="4">
        <v>2.134684E9</v>
      </c>
      <c r="BC3" s="4">
        <v>1.938578E9</v>
      </c>
      <c r="BD3" s="4">
        <v>1.845449E9</v>
      </c>
      <c r="BE3" s="4">
        <v>2.117314E9</v>
      </c>
      <c r="BF3" s="4">
        <v>2.145779E9</v>
      </c>
      <c r="BG3" s="4">
        <v>1.962148E9</v>
      </c>
      <c r="BH3" s="4">
        <v>1.870125E9</v>
      </c>
      <c r="BI3" s="4">
        <v>1.886297E9</v>
      </c>
      <c r="BJ3" s="4">
        <v>1.852801E9</v>
      </c>
      <c r="BK3" s="4">
        <v>1.59514E9</v>
      </c>
      <c r="BL3" s="4">
        <v>1.517744E9</v>
      </c>
      <c r="BM3" s="4">
        <v>1.786157E9</v>
      </c>
      <c r="BN3" s="4">
        <v>1.742748E9</v>
      </c>
      <c r="BO3" s="4">
        <v>1.917991E9</v>
      </c>
      <c r="BP3" s="4">
        <v>1.95388E9</v>
      </c>
      <c r="BQ3" s="4">
        <v>1.808755E9</v>
      </c>
      <c r="BR3" s="4">
        <v>1.762925E9</v>
      </c>
      <c r="BS3" s="4">
        <v>1.74465E9</v>
      </c>
      <c r="BT3" s="4">
        <v>1.698663E9</v>
      </c>
      <c r="BU3" s="4">
        <v>1.783195E9</v>
      </c>
      <c r="BV3" s="4">
        <v>1.730902E9</v>
      </c>
      <c r="BW3" s="4">
        <v>1.722234E9</v>
      </c>
      <c r="BX3" s="4">
        <v>1.586642E9</v>
      </c>
      <c r="BY3" s="4">
        <v>1.629658E9</v>
      </c>
      <c r="BZ3" s="4">
        <v>1.652215E9</v>
      </c>
      <c r="CA3" s="4">
        <v>1.5987E9</v>
      </c>
      <c r="CB3" s="4">
        <v>1.367308E9</v>
      </c>
      <c r="CC3" s="4">
        <v>1.355391E9</v>
      </c>
      <c r="CD3" s="4">
        <v>1.323908E9</v>
      </c>
      <c r="CE3" s="4">
        <v>1.390393E9</v>
      </c>
      <c r="CF3" s="4">
        <v>1.244105E9</v>
      </c>
      <c r="CG3" s="4">
        <v>1.588266E9</v>
      </c>
      <c r="CH3" s="4">
        <v>1.556047E9</v>
      </c>
      <c r="CI3" s="4">
        <v>1.346941E9</v>
      </c>
      <c r="CJ3" s="4">
        <v>1.140679E9</v>
      </c>
      <c r="CK3" s="4">
        <v>1.126236E9</v>
      </c>
      <c r="CL3" s="4">
        <v>1.124927E9</v>
      </c>
      <c r="CM3" s="4">
        <v>1.257107E9</v>
      </c>
      <c r="CN3" s="4">
        <v>1.164356E9</v>
      </c>
      <c r="CO3" s="4">
        <v>1.137045E9</v>
      </c>
      <c r="CP3" s="4">
        <v>1.095535E9</v>
      </c>
      <c r="CQ3" s="4">
        <v>1.2137E9</v>
      </c>
      <c r="CR3" s="4">
        <v>1.0288E9</v>
      </c>
      <c r="CS3" s="4">
        <v>9.991E8</v>
      </c>
      <c r="CT3" s="4">
        <v>8.78917E8</v>
      </c>
      <c r="CU3" s="4">
        <v>1.0034E9</v>
      </c>
      <c r="CV3" s="4">
        <v>8.742E8</v>
      </c>
      <c r="CW3" s="4">
        <v>7.566E8</v>
      </c>
      <c r="CX3" s="4">
        <v>6.66709E8</v>
      </c>
      <c r="CY3" s="4">
        <v>7.759E8</v>
      </c>
      <c r="CZ3" s="4">
        <v>6.384E8</v>
      </c>
      <c r="DA3" s="4">
        <v>5.968E8</v>
      </c>
      <c r="DB3" s="4">
        <v>5.04599E8</v>
      </c>
      <c r="DC3" s="4">
        <v>6.605E8</v>
      </c>
      <c r="DD3" s="4">
        <v>5.522E8</v>
      </c>
      <c r="DE3" s="4">
        <v>5.705E8</v>
      </c>
      <c r="DF3" s="4">
        <v>5.16243E8</v>
      </c>
      <c r="DG3" s="4">
        <v>6.095E8</v>
      </c>
      <c r="DH3" s="4">
        <v>5.016E8</v>
      </c>
      <c r="DI3" s="4">
        <v>4.869E8</v>
      </c>
      <c r="DJ3" s="4">
        <v>4.10153E8</v>
      </c>
      <c r="DK3" s="4">
        <v>4.423E8</v>
      </c>
      <c r="DL3" s="4">
        <v>3.831E8</v>
      </c>
      <c r="DM3" s="4">
        <v>3.536E8</v>
      </c>
      <c r="DN3" s="4">
        <v>3.15E8</v>
      </c>
      <c r="DO3" s="4">
        <v>3.771E8</v>
      </c>
      <c r="DP3" s="4">
        <v>3.051E8</v>
      </c>
      <c r="DQ3" s="4">
        <v>3.097E8</v>
      </c>
      <c r="DR3" s="4">
        <v>2.557E8</v>
      </c>
      <c r="DS3" s="4">
        <v>3.013E8</v>
      </c>
      <c r="DT3" s="4">
        <v>2.466E8</v>
      </c>
      <c r="DU3" s="4">
        <v>2.449E8</v>
      </c>
      <c r="DV3" s="4">
        <v>1.924E8</v>
      </c>
      <c r="DW3" s="4">
        <v>2.544E8</v>
      </c>
      <c r="DX3" s="4">
        <v>2.189E8</v>
      </c>
      <c r="DY3" s="4">
        <v>2.041E8</v>
      </c>
      <c r="DZ3" s="4">
        <v>1.682E8</v>
      </c>
      <c r="EA3" s="4">
        <v>2.297E8</v>
      </c>
      <c r="EB3" s="4">
        <v>2.064E8</v>
      </c>
      <c r="EC3" s="4">
        <v>2.1E8</v>
      </c>
      <c r="ED3" s="4">
        <v>1.552E8</v>
      </c>
      <c r="EE3" s="4">
        <v>2.124E8</v>
      </c>
      <c r="EF3" s="4">
        <v>1.965E8</v>
      </c>
      <c r="EG3" s="4">
        <v>1.826E8</v>
      </c>
      <c r="EH3" s="4">
        <v>1.904E8</v>
      </c>
      <c r="EI3" s="4">
        <v>1.942E8</v>
      </c>
      <c r="EJ3" s="4">
        <v>1.894E8</v>
      </c>
    </row>
    <row r="4">
      <c r="A4" s="1" t="s">
        <v>3</v>
      </c>
      <c r="B4" s="4">
        <v>3.53018E8</v>
      </c>
      <c r="C4" s="4">
        <v>3.13064E8</v>
      </c>
      <c r="D4" s="4">
        <v>3.81576E8</v>
      </c>
      <c r="E4" s="4">
        <v>3.62731E8</v>
      </c>
      <c r="F4" s="4">
        <v>3.26263E8</v>
      </c>
      <c r="G4" s="4">
        <v>3.35613E8</v>
      </c>
      <c r="H4" s="4">
        <v>3.44829E8</v>
      </c>
      <c r="I4" s="4">
        <v>4.88662E8</v>
      </c>
      <c r="J4" s="4">
        <v>3.13666E8</v>
      </c>
      <c r="K4" s="4">
        <v>6.88055E8</v>
      </c>
      <c r="L4" s="4">
        <v>1.376577E9</v>
      </c>
      <c r="M4" s="4">
        <v>2.199443E9</v>
      </c>
      <c r="N4" s="4">
        <v>2.959604E9</v>
      </c>
      <c r="O4" s="4">
        <v>2.673912E9</v>
      </c>
      <c r="P4" s="4">
        <v>2.4032E8</v>
      </c>
      <c r="Q4" s="4">
        <v>2.76076E8</v>
      </c>
      <c r="R4" s="4">
        <v>2.59568E8</v>
      </c>
      <c r="S4" s="4">
        <v>2.71111E8</v>
      </c>
      <c r="T4" s="4">
        <v>2.35487E8</v>
      </c>
      <c r="U4" s="4">
        <v>2.60688E8</v>
      </c>
      <c r="V4" s="4">
        <v>2.65288E8</v>
      </c>
      <c r="W4" s="4">
        <v>2.8397E8</v>
      </c>
      <c r="X4" s="4">
        <v>2.67441E8</v>
      </c>
      <c r="Y4" s="4">
        <v>2.26192E8</v>
      </c>
      <c r="Z4" s="4">
        <v>2.14173E8</v>
      </c>
      <c r="AA4" s="4">
        <v>2.05977E8</v>
      </c>
      <c r="AB4" s="4">
        <v>1.87915E8</v>
      </c>
      <c r="AC4" s="4">
        <v>2.00236E8</v>
      </c>
      <c r="AD4" s="4">
        <v>1.85033E8</v>
      </c>
      <c r="AE4" s="4">
        <v>1.87687E8</v>
      </c>
      <c r="AF4" s="4">
        <v>1.57947E8</v>
      </c>
      <c r="AG4" s="4">
        <v>1.82514E8</v>
      </c>
      <c r="AH4" s="4">
        <v>1.80525E8</v>
      </c>
      <c r="AI4" s="4">
        <v>2.25116E8</v>
      </c>
      <c r="AJ4" s="4">
        <v>5.79823E8</v>
      </c>
      <c r="AK4" s="4">
        <v>2.16155E8</v>
      </c>
      <c r="AL4" s="4">
        <v>1.72474E8</v>
      </c>
      <c r="AM4" s="4">
        <v>1.6633E8</v>
      </c>
      <c r="AN4" s="4">
        <v>5.05566E8</v>
      </c>
      <c r="AO4" s="4">
        <v>1.65717E8</v>
      </c>
      <c r="AP4" s="4">
        <v>1.6922E8</v>
      </c>
      <c r="AQ4" s="4">
        <v>1.55526E8</v>
      </c>
      <c r="AR4" s="4">
        <v>1.40809E8</v>
      </c>
      <c r="AS4" s="4">
        <v>1.4258E8</v>
      </c>
      <c r="AT4" s="4">
        <v>1.34157E8</v>
      </c>
      <c r="AU4" s="4">
        <v>1.3253E8</v>
      </c>
      <c r="AV4" s="4">
        <v>1.26126E8</v>
      </c>
      <c r="AW4" s="4">
        <v>1.1858E8</v>
      </c>
      <c r="AX4" s="4">
        <v>1.1305E8</v>
      </c>
      <c r="AY4" s="4">
        <v>6.02463E8</v>
      </c>
      <c r="AZ4" s="4">
        <v>4.97446E8</v>
      </c>
      <c r="BA4" s="4">
        <v>2.37906E8</v>
      </c>
      <c r="BB4" s="4">
        <v>2.81421E8</v>
      </c>
      <c r="BC4" s="4">
        <v>2.22709E8</v>
      </c>
      <c r="BD4" s="4">
        <v>2.22076E8</v>
      </c>
      <c r="BE4" s="4">
        <v>3.37019E8</v>
      </c>
      <c r="BF4" s="4">
        <v>5.15375E8</v>
      </c>
      <c r="BG4" s="4">
        <v>4.34584E8</v>
      </c>
      <c r="BH4" s="4">
        <v>3.77995E8</v>
      </c>
      <c r="BI4" s="4">
        <v>1.5059E8</v>
      </c>
      <c r="BJ4" s="4">
        <v>2.64227E8</v>
      </c>
      <c r="BK4" s="4">
        <v>1.64475E8</v>
      </c>
      <c r="BL4" s="4">
        <v>1.1982E8</v>
      </c>
      <c r="BM4" s="4">
        <v>2.31788E8</v>
      </c>
      <c r="BN4" s="4">
        <v>2.19238E8</v>
      </c>
      <c r="BO4" s="4">
        <v>1.20314E8</v>
      </c>
      <c r="BP4" s="4">
        <v>1.07882E8</v>
      </c>
      <c r="BQ4" s="4">
        <v>9.0701E7</v>
      </c>
      <c r="BR4" s="4">
        <v>2.09459E8</v>
      </c>
      <c r="BS4" s="4">
        <v>9.4186E7</v>
      </c>
      <c r="BT4" s="4">
        <v>1.4595E8</v>
      </c>
      <c r="BU4" s="4">
        <v>2.36523E8</v>
      </c>
      <c r="BV4" s="4">
        <v>2.75755E8</v>
      </c>
      <c r="BW4" s="4">
        <v>4.5832E7</v>
      </c>
      <c r="BX4" s="4">
        <v>1.01465E8</v>
      </c>
      <c r="BY4" s="4">
        <v>2.56883E8</v>
      </c>
      <c r="BZ4" s="4">
        <v>3.98278E8</v>
      </c>
      <c r="CA4" s="4">
        <v>1.3847E8</v>
      </c>
      <c r="CB4" s="4">
        <v>1.02276E8</v>
      </c>
      <c r="CC4" s="4">
        <v>7.5946E7</v>
      </c>
      <c r="CD4" s="4">
        <v>1.21318E8</v>
      </c>
      <c r="CE4" s="4">
        <v>3.7101E7</v>
      </c>
      <c r="CF4" s="4">
        <v>3.9517E7</v>
      </c>
      <c r="CG4" s="4">
        <v>2.87424E8</v>
      </c>
      <c r="CH4" s="4">
        <v>2.61525E8</v>
      </c>
      <c r="CI4" s="4">
        <v>7.4819E7</v>
      </c>
      <c r="CJ4" s="4">
        <v>8.163E7</v>
      </c>
      <c r="CK4" s="4">
        <v>1.60894E8</v>
      </c>
      <c r="CL4" s="4">
        <v>1.6231E8</v>
      </c>
      <c r="CM4" s="4">
        <v>1.308E7</v>
      </c>
      <c r="CN4" s="4">
        <v>1.404E7</v>
      </c>
      <c r="CO4" s="4">
        <v>2.8397E7</v>
      </c>
      <c r="CP4" s="4">
        <v>5.8789E7</v>
      </c>
      <c r="CQ4" s="4">
        <v>3.57E7</v>
      </c>
      <c r="CR4" s="4">
        <v>2.53E7</v>
      </c>
      <c r="CS4" s="4">
        <v>2.56E7</v>
      </c>
      <c r="CT4" s="4">
        <v>2.2294E7</v>
      </c>
      <c r="CU4" s="4">
        <v>1.83E7</v>
      </c>
      <c r="CV4" s="4">
        <v>3.32E7</v>
      </c>
      <c r="CW4" s="4">
        <v>3.72E7</v>
      </c>
      <c r="CX4" s="4">
        <v>7128000.0</v>
      </c>
      <c r="CY4" s="4">
        <v>1.32E7</v>
      </c>
      <c r="CZ4" s="4">
        <v>2.49E7</v>
      </c>
      <c r="DA4" s="4">
        <v>3.34E7</v>
      </c>
      <c r="DB4" s="4">
        <v>6563000.0</v>
      </c>
      <c r="DC4" s="4">
        <v>8800000.0</v>
      </c>
      <c r="DD4" s="4">
        <v>1.3E7</v>
      </c>
      <c r="DE4" s="4">
        <v>1.94E7</v>
      </c>
      <c r="DF4" s="4">
        <v>4344000.0</v>
      </c>
      <c r="DG4" s="4">
        <v>4100000.0</v>
      </c>
      <c r="DH4" s="4">
        <v>1.4E7</v>
      </c>
      <c r="DI4" s="4">
        <v>4.11E7</v>
      </c>
      <c r="DJ4" s="4">
        <v>3.3045E7</v>
      </c>
      <c r="DK4" s="4">
        <v>2.56E7</v>
      </c>
      <c r="DL4" s="4">
        <v>2.68E7</v>
      </c>
      <c r="DM4" s="4">
        <v>3.03E7</v>
      </c>
      <c r="DN4" s="4">
        <v>3.54E7</v>
      </c>
      <c r="DO4" s="4">
        <v>3.32E7</v>
      </c>
      <c r="DP4" s="4">
        <v>2.26E7</v>
      </c>
      <c r="DQ4" s="4">
        <v>1.74E7</v>
      </c>
      <c r="DR4" s="4">
        <v>2.5E7</v>
      </c>
      <c r="DS4" s="4">
        <v>2.93E7</v>
      </c>
      <c r="DT4" s="4">
        <v>1.81E7</v>
      </c>
      <c r="DU4" s="4">
        <v>1.39E7</v>
      </c>
      <c r="DV4" s="4">
        <v>7900000.0</v>
      </c>
      <c r="DW4" s="4">
        <v>7600000.0</v>
      </c>
      <c r="DX4" s="4">
        <v>8800000.0</v>
      </c>
      <c r="DY4" s="4">
        <v>5900000.0</v>
      </c>
      <c r="DZ4" s="4">
        <v>3900000.0</v>
      </c>
      <c r="EA4" s="4">
        <v>1.26E7</v>
      </c>
      <c r="EB4" s="4">
        <v>7300000.0</v>
      </c>
      <c r="EC4" s="4">
        <v>8400000.0</v>
      </c>
      <c r="ED4" s="4">
        <v>6500000.0</v>
      </c>
      <c r="EE4" s="4">
        <v>2700000.0</v>
      </c>
      <c r="EF4" s="4">
        <v>3500000.0</v>
      </c>
      <c r="EG4" s="4">
        <v>5700000.0</v>
      </c>
      <c r="EH4" s="4">
        <v>7300000.0</v>
      </c>
      <c r="EI4" s="4">
        <v>5200000.0</v>
      </c>
      <c r="EJ4" s="4">
        <v>6800000.0</v>
      </c>
    </row>
    <row r="5">
      <c r="A5" s="1" t="s">
        <v>4</v>
      </c>
      <c r="B5" s="4">
        <v>3.53018E8</v>
      </c>
      <c r="C5" s="4">
        <v>3.13064E8</v>
      </c>
      <c r="D5" s="4">
        <v>3.81576E8</v>
      </c>
      <c r="E5" s="4">
        <v>3.62731E8</v>
      </c>
      <c r="F5" s="4">
        <v>3.26263E8</v>
      </c>
      <c r="G5" s="4">
        <v>3.35613E8</v>
      </c>
      <c r="H5" s="4">
        <v>3.44829E8</v>
      </c>
      <c r="I5" s="4">
        <v>4.88662E8</v>
      </c>
      <c r="J5" s="4">
        <v>3.13666E8</v>
      </c>
      <c r="K5" s="4">
        <v>6.88055E8</v>
      </c>
      <c r="L5" s="4">
        <v>1.376577E9</v>
      </c>
      <c r="M5" s="4">
        <v>2.199443E9</v>
      </c>
      <c r="N5" s="4">
        <v>2.959604E9</v>
      </c>
      <c r="O5" s="4">
        <v>2.673912E9</v>
      </c>
      <c r="P5" s="4">
        <v>2.4032E8</v>
      </c>
      <c r="Q5" s="4">
        <v>2.76076E8</v>
      </c>
      <c r="R5" s="4">
        <v>2.59568E8</v>
      </c>
      <c r="S5" s="4">
        <v>2.71111E8</v>
      </c>
      <c r="T5" s="4">
        <v>2.35487E8</v>
      </c>
      <c r="U5" s="4">
        <v>2.60688E8</v>
      </c>
      <c r="V5" s="4">
        <v>2.65288E8</v>
      </c>
      <c r="W5" s="4">
        <v>2.8397E8</v>
      </c>
      <c r="X5" s="4">
        <v>2.67441E8</v>
      </c>
      <c r="Y5" s="4">
        <v>2.26192E8</v>
      </c>
      <c r="Z5" s="4">
        <v>2.14173E8</v>
      </c>
      <c r="AA5" s="4">
        <v>2.05977E8</v>
      </c>
      <c r="AB5" s="4">
        <v>1.87915E8</v>
      </c>
      <c r="AC5" s="4">
        <v>2.00236E8</v>
      </c>
      <c r="AD5" s="4">
        <v>1.85033E8</v>
      </c>
      <c r="AE5" s="4">
        <v>1.87687E8</v>
      </c>
      <c r="AF5" s="4">
        <v>1.57947E8</v>
      </c>
      <c r="AG5" s="4">
        <v>1.82514E8</v>
      </c>
      <c r="AH5" s="4">
        <v>1.80525E8</v>
      </c>
      <c r="AI5" s="4">
        <v>2.25116E8</v>
      </c>
      <c r="AJ5" s="4">
        <v>5.79823E8</v>
      </c>
      <c r="AK5" s="4">
        <v>2.16155E8</v>
      </c>
      <c r="AL5" s="4">
        <v>1.72474E8</v>
      </c>
      <c r="AM5" s="4">
        <v>1.6633E8</v>
      </c>
      <c r="AN5" s="4">
        <v>5.05566E8</v>
      </c>
      <c r="AO5" s="4">
        <v>1.65717E8</v>
      </c>
      <c r="AP5" s="4">
        <v>1.6922E8</v>
      </c>
      <c r="AQ5" s="4">
        <v>1.55526E8</v>
      </c>
      <c r="AR5" s="4">
        <v>1.40809E8</v>
      </c>
      <c r="AS5" s="4">
        <v>1.4258E8</v>
      </c>
      <c r="AT5" s="4">
        <v>1.34157E8</v>
      </c>
      <c r="AU5" s="4">
        <v>1.3253E8</v>
      </c>
      <c r="AV5" s="4">
        <v>1.26126E8</v>
      </c>
      <c r="AW5" s="4">
        <v>1.1858E8</v>
      </c>
      <c r="AX5" s="4">
        <v>1.1305E8</v>
      </c>
      <c r="AY5" s="4">
        <v>6.02463E8</v>
      </c>
      <c r="AZ5" s="4">
        <v>4.97446E8</v>
      </c>
      <c r="BA5" s="4">
        <v>2.37906E8</v>
      </c>
      <c r="BB5" s="4">
        <v>2.81421E8</v>
      </c>
      <c r="BC5" s="4">
        <v>2.22709E8</v>
      </c>
      <c r="BD5" s="4">
        <v>2.22076E8</v>
      </c>
      <c r="BE5" s="4">
        <v>3.37019E8</v>
      </c>
      <c r="BF5" s="4">
        <v>5.15375E8</v>
      </c>
      <c r="BG5" s="4">
        <v>4.34584E8</v>
      </c>
      <c r="BH5" s="4">
        <v>3.77995E8</v>
      </c>
      <c r="BI5" s="4">
        <v>1.5059E8</v>
      </c>
      <c r="BJ5" s="4">
        <v>2.6163E8</v>
      </c>
      <c r="BK5" s="4">
        <v>1.15904E8</v>
      </c>
      <c r="BL5" s="4">
        <v>1.00209E8</v>
      </c>
      <c r="BM5" s="4">
        <v>2.04417E8</v>
      </c>
      <c r="BN5" s="4">
        <v>1.89288E8</v>
      </c>
      <c r="BO5" s="4">
        <v>9.0914E7</v>
      </c>
      <c r="BP5" s="4">
        <v>8.6352E7</v>
      </c>
      <c r="BQ5" s="4">
        <v>7.1876E7</v>
      </c>
      <c r="BR5" s="4">
        <v>2.00609E8</v>
      </c>
      <c r="BS5" s="4">
        <v>9.2769E7</v>
      </c>
      <c r="BT5" s="4">
        <v>1.4595E8</v>
      </c>
      <c r="BU5" s="4">
        <v>2.36523E8</v>
      </c>
      <c r="BV5" s="4">
        <v>2.3283E8</v>
      </c>
      <c r="BW5" s="4">
        <v>4.5832E7</v>
      </c>
      <c r="BX5" s="4">
        <v>1.01465E8</v>
      </c>
      <c r="BY5" s="4">
        <v>2.56883E8</v>
      </c>
      <c r="BZ5" s="4">
        <v>3.98278E8</v>
      </c>
      <c r="CA5" s="4">
        <v>1.3847E8</v>
      </c>
      <c r="CB5" s="4">
        <v>1.02276E8</v>
      </c>
      <c r="CC5" s="4">
        <v>7.5946E7</v>
      </c>
      <c r="CD5" s="4">
        <v>1.21318E8</v>
      </c>
      <c r="CE5" s="4">
        <v>3.7101E7</v>
      </c>
      <c r="CF5" s="4">
        <v>3.9517E7</v>
      </c>
      <c r="CG5" s="4">
        <v>2.87424E8</v>
      </c>
      <c r="CH5" s="4">
        <v>2.61525E8</v>
      </c>
      <c r="CI5" s="4">
        <v>7.4819E7</v>
      </c>
      <c r="CJ5" s="4">
        <v>8.163E7</v>
      </c>
      <c r="CK5" s="4">
        <v>1.60894E8</v>
      </c>
      <c r="CL5" s="4">
        <v>1.6231E8</v>
      </c>
      <c r="CM5" s="4">
        <v>1.308E7</v>
      </c>
      <c r="CN5" s="4">
        <v>1.404E7</v>
      </c>
      <c r="CO5" s="4">
        <v>2.8397E7</v>
      </c>
      <c r="CP5" s="4">
        <v>5.8789E7</v>
      </c>
      <c r="CQ5" s="4">
        <v>3.57E7</v>
      </c>
      <c r="CR5" s="4">
        <v>2.53E7</v>
      </c>
      <c r="CS5" s="4">
        <v>2.56E7</v>
      </c>
      <c r="CT5" s="4">
        <v>2.2294E7</v>
      </c>
      <c r="CU5" s="4">
        <v>1.83E7</v>
      </c>
      <c r="CV5" s="4">
        <v>3.32E7</v>
      </c>
      <c r="CW5" s="4">
        <v>3.72E7</v>
      </c>
      <c r="CX5" s="4">
        <v>7128000.0</v>
      </c>
      <c r="CY5" s="4">
        <v>1.32E7</v>
      </c>
      <c r="CZ5" s="4">
        <v>2.49E7</v>
      </c>
      <c r="DA5" s="4">
        <v>3.34E7</v>
      </c>
      <c r="DB5" s="4">
        <v>6563000.0</v>
      </c>
      <c r="DC5" s="4">
        <v>8800000.0</v>
      </c>
      <c r="DD5" s="4">
        <v>1.3E7</v>
      </c>
      <c r="DE5" s="4">
        <v>1.94E7</v>
      </c>
      <c r="DF5" s="4">
        <v>4344000.0</v>
      </c>
      <c r="DG5" s="4">
        <v>4100000.0</v>
      </c>
      <c r="DH5" s="4">
        <v>1.4E7</v>
      </c>
      <c r="DI5" s="4">
        <v>4.11E7</v>
      </c>
      <c r="DJ5" s="4">
        <v>3.3045E7</v>
      </c>
      <c r="DK5" s="4">
        <v>2.56E7</v>
      </c>
      <c r="DL5" s="4">
        <v>2.68E7</v>
      </c>
      <c r="DM5" s="4">
        <v>3.03E7</v>
      </c>
      <c r="DN5" s="4">
        <v>3.54E7</v>
      </c>
      <c r="DO5" s="4">
        <v>3.32E7</v>
      </c>
      <c r="DP5" s="4">
        <v>2.26E7</v>
      </c>
      <c r="DQ5" s="4">
        <v>1.74E7</v>
      </c>
      <c r="DR5" s="4">
        <v>2.5E7</v>
      </c>
      <c r="DS5" s="4">
        <v>2.93E7</v>
      </c>
      <c r="DT5" s="4">
        <v>1.81E7</v>
      </c>
      <c r="DU5" s="4">
        <v>1.39E7</v>
      </c>
      <c r="DV5" s="4">
        <v>7900000.0</v>
      </c>
      <c r="DW5" s="4">
        <v>7600000.0</v>
      </c>
      <c r="DX5" s="4">
        <v>8800000.0</v>
      </c>
      <c r="DY5" s="4">
        <v>5900000.0</v>
      </c>
      <c r="DZ5" s="4">
        <v>3900000.0</v>
      </c>
      <c r="EA5" s="4">
        <v>1.26E7</v>
      </c>
      <c r="EB5" s="4">
        <v>7300000.0</v>
      </c>
      <c r="EC5" s="4">
        <v>8400000.0</v>
      </c>
      <c r="ED5" s="4">
        <v>6500000.0</v>
      </c>
      <c r="EE5" s="4">
        <v>2700000.0</v>
      </c>
      <c r="EF5" s="4">
        <v>3500000.0</v>
      </c>
      <c r="EG5" s="4">
        <v>5700000.0</v>
      </c>
      <c r="EH5" s="4">
        <v>7300000.0</v>
      </c>
      <c r="EI5" s="4">
        <v>5200000.0</v>
      </c>
      <c r="EJ5" s="4">
        <v>6800000.0</v>
      </c>
    </row>
    <row r="6">
      <c r="A6" s="1" t="s">
        <v>5</v>
      </c>
      <c r="BH6" s="1">
        <v>0.0</v>
      </c>
      <c r="BI6" s="1">
        <v>0.0</v>
      </c>
      <c r="BJ6" s="4">
        <v>2597000.0</v>
      </c>
      <c r="BK6" s="4">
        <v>4.8571E7</v>
      </c>
      <c r="BL6" s="4">
        <v>1.9611E7</v>
      </c>
      <c r="BM6" s="4">
        <v>2.7371E7</v>
      </c>
      <c r="BN6" s="4">
        <v>2.995E7</v>
      </c>
      <c r="BO6" s="4">
        <v>2.94E7</v>
      </c>
      <c r="BP6" s="4">
        <v>2.153E7</v>
      </c>
      <c r="BQ6" s="4">
        <v>1.8825E7</v>
      </c>
      <c r="BR6" s="4">
        <v>8850000.0</v>
      </c>
      <c r="BS6" s="4">
        <v>1417000.0</v>
      </c>
      <c r="BT6" s="1">
        <v>0.0</v>
      </c>
      <c r="BU6" s="1">
        <v>0.0</v>
      </c>
      <c r="BV6" s="4">
        <v>4.2925E7</v>
      </c>
    </row>
    <row r="7">
      <c r="A7" s="1" t="s">
        <v>6</v>
      </c>
      <c r="B7" s="4">
        <v>1.5173E8</v>
      </c>
      <c r="C7" s="4">
        <v>5.0863E7</v>
      </c>
      <c r="D7" s="4">
        <v>1.35775E8</v>
      </c>
      <c r="E7" s="4">
        <v>1.88082E8</v>
      </c>
      <c r="F7" s="4">
        <v>9.3283E7</v>
      </c>
      <c r="G7" s="4">
        <v>3.3576E7</v>
      </c>
      <c r="H7" s="4">
        <v>9.7394E7</v>
      </c>
      <c r="I7" s="4">
        <v>1.20374E8</v>
      </c>
      <c r="J7" s="4">
        <v>1.27011E8</v>
      </c>
      <c r="K7" s="4">
        <v>1.6637E7</v>
      </c>
      <c r="L7" s="4">
        <v>9.076E7</v>
      </c>
      <c r="M7" s="4">
        <v>1.11139E8</v>
      </c>
      <c r="N7" s="4">
        <v>3.6176E7</v>
      </c>
      <c r="O7" s="4">
        <v>1.7191E7</v>
      </c>
      <c r="P7" s="4">
        <v>7.6537E7</v>
      </c>
      <c r="Q7" s="4">
        <v>1.03188E8</v>
      </c>
      <c r="R7" s="4">
        <v>6.1692E7</v>
      </c>
      <c r="S7" s="4">
        <v>2.5164E7</v>
      </c>
      <c r="T7" s="4">
        <v>5.7804E7</v>
      </c>
      <c r="U7" s="4">
        <v>1.14647E8</v>
      </c>
      <c r="V7" s="4">
        <v>6.8353E7</v>
      </c>
      <c r="W7" s="4">
        <v>2.8637E7</v>
      </c>
      <c r="X7" s="4">
        <v>1.08265E8</v>
      </c>
      <c r="Y7" s="4">
        <v>9.9678E7</v>
      </c>
      <c r="Z7" s="4">
        <v>4.4255E7</v>
      </c>
      <c r="AA7" s="4">
        <v>1.0492E7</v>
      </c>
      <c r="AB7" s="4">
        <v>1.105E7</v>
      </c>
      <c r="AC7" s="4">
        <v>5.4586E7</v>
      </c>
      <c r="AD7" s="4">
        <v>2.2985E7</v>
      </c>
      <c r="AE7" s="4">
        <v>6827000.0</v>
      </c>
      <c r="AF7" s="4">
        <v>6843000.0</v>
      </c>
      <c r="AG7" s="4">
        <v>1.1877E7</v>
      </c>
      <c r="AH7" s="4">
        <v>1.4646E7</v>
      </c>
      <c r="AL7" s="4">
        <v>4237000.0</v>
      </c>
      <c r="AO7" s="4">
        <v>9786000.0</v>
      </c>
      <c r="AP7" s="4">
        <v>7894000.0</v>
      </c>
      <c r="AS7" s="4">
        <v>1.3554E7</v>
      </c>
      <c r="AT7" s="4">
        <v>8.9473E7</v>
      </c>
      <c r="AU7" s="4">
        <v>5210000.0</v>
      </c>
      <c r="AW7" s="4">
        <v>4.8807E7</v>
      </c>
      <c r="AX7" s="4">
        <v>4.3435E7</v>
      </c>
      <c r="AZ7" s="1">
        <v>0.0</v>
      </c>
      <c r="BA7" s="4">
        <v>2.7677E7</v>
      </c>
      <c r="BB7" s="1">
        <v>0.0</v>
      </c>
      <c r="BC7" s="1">
        <v>0.0</v>
      </c>
      <c r="BD7" s="4">
        <v>7543000.0</v>
      </c>
      <c r="BE7" s="4">
        <v>3.1268E7</v>
      </c>
      <c r="BF7" s="4">
        <v>5450000.0</v>
      </c>
      <c r="BG7" s="4">
        <v>3479000.0</v>
      </c>
      <c r="BH7" s="4">
        <v>6392000.0</v>
      </c>
      <c r="BI7" s="4">
        <v>4.2986E7</v>
      </c>
      <c r="BJ7" s="4">
        <v>1.2829E7</v>
      </c>
      <c r="BK7" s="4">
        <v>3.3813E7</v>
      </c>
      <c r="BL7" s="4">
        <v>3.2501E7</v>
      </c>
      <c r="BM7" s="4">
        <v>1.4624E7</v>
      </c>
      <c r="BN7" s="4">
        <v>9833000.0</v>
      </c>
      <c r="BP7" s="4">
        <v>3.8753E7</v>
      </c>
      <c r="CF7" s="4">
        <v>5.5573E7</v>
      </c>
      <c r="EE7" s="4">
        <v>2.024E8</v>
      </c>
    </row>
    <row r="8">
      <c r="A8" s="1" t="s">
        <v>7</v>
      </c>
      <c r="B8" s="4">
        <v>1.5173E8</v>
      </c>
      <c r="C8" s="4">
        <v>5.0863E7</v>
      </c>
      <c r="D8" s="4">
        <v>1.35775E8</v>
      </c>
      <c r="E8" s="4">
        <v>1.88082E8</v>
      </c>
      <c r="F8" s="4">
        <v>9.3283E7</v>
      </c>
      <c r="G8" s="4">
        <v>3.3576E7</v>
      </c>
      <c r="H8" s="4">
        <v>9.7394E7</v>
      </c>
      <c r="I8" s="4">
        <v>1.20374E8</v>
      </c>
      <c r="J8" s="4">
        <v>1.27011E8</v>
      </c>
      <c r="K8" s="4">
        <v>1.6637E7</v>
      </c>
      <c r="L8" s="4">
        <v>9.076E7</v>
      </c>
      <c r="M8" s="4">
        <v>1.11139E8</v>
      </c>
      <c r="N8" s="4">
        <v>3.6176E7</v>
      </c>
      <c r="O8" s="4">
        <v>1.7191E7</v>
      </c>
      <c r="P8" s="4">
        <v>7.6537E7</v>
      </c>
      <c r="Q8" s="4">
        <v>1.03188E8</v>
      </c>
      <c r="R8" s="4">
        <v>6.1692E7</v>
      </c>
      <c r="S8" s="4">
        <v>2.5164E7</v>
      </c>
      <c r="T8" s="4">
        <v>5.7804E7</v>
      </c>
      <c r="U8" s="4">
        <v>1.14647E8</v>
      </c>
      <c r="V8" s="4">
        <v>6.8353E7</v>
      </c>
      <c r="W8" s="4">
        <v>2.8637E7</v>
      </c>
      <c r="X8" s="4">
        <v>1.08265E8</v>
      </c>
      <c r="Y8" s="4">
        <v>9.9678E7</v>
      </c>
      <c r="Z8" s="4">
        <v>4.4255E7</v>
      </c>
      <c r="AA8" s="4">
        <v>1.0492E7</v>
      </c>
      <c r="AB8" s="4">
        <v>1.105E7</v>
      </c>
      <c r="AC8" s="4">
        <v>5.4586E7</v>
      </c>
      <c r="AD8" s="4">
        <v>2.2985E7</v>
      </c>
      <c r="AE8" s="4">
        <v>6827000.0</v>
      </c>
      <c r="AF8" s="4">
        <v>6843000.0</v>
      </c>
      <c r="AG8" s="4">
        <v>1.1877E7</v>
      </c>
      <c r="AH8" s="4">
        <v>1.4646E7</v>
      </c>
      <c r="AL8" s="4">
        <v>4237000.0</v>
      </c>
      <c r="AO8" s="4">
        <v>9786000.0</v>
      </c>
      <c r="AP8" s="4">
        <v>7894000.0</v>
      </c>
      <c r="AS8" s="4">
        <v>1.3554E7</v>
      </c>
      <c r="AT8" s="4">
        <v>8.9473E7</v>
      </c>
      <c r="AU8" s="4">
        <v>5210000.0</v>
      </c>
      <c r="AW8" s="4">
        <v>4.8807E7</v>
      </c>
      <c r="AX8" s="4">
        <v>4.3435E7</v>
      </c>
      <c r="AZ8" s="1">
        <v>0.0</v>
      </c>
      <c r="BA8" s="4">
        <v>2.7677E7</v>
      </c>
      <c r="BB8" s="1">
        <v>0.0</v>
      </c>
      <c r="BC8" s="1">
        <v>0.0</v>
      </c>
      <c r="BD8" s="4">
        <v>7543000.0</v>
      </c>
      <c r="BE8" s="4">
        <v>3.1268E7</v>
      </c>
      <c r="BF8" s="4">
        <v>5450000.0</v>
      </c>
      <c r="BG8" s="4">
        <v>3479000.0</v>
      </c>
      <c r="BH8" s="4">
        <v>6392000.0</v>
      </c>
      <c r="BI8" s="4">
        <v>4.2986E7</v>
      </c>
      <c r="BJ8" s="4">
        <v>1.2829E7</v>
      </c>
      <c r="BK8" s="4">
        <v>3.3813E7</v>
      </c>
      <c r="BL8" s="4">
        <v>3.2501E7</v>
      </c>
      <c r="BM8" s="4">
        <v>1.4624E7</v>
      </c>
      <c r="BN8" s="4">
        <v>9833000.0</v>
      </c>
      <c r="BP8" s="4">
        <v>3.8753E7</v>
      </c>
      <c r="CF8" s="4">
        <v>5.5573E7</v>
      </c>
    </row>
    <row r="9">
      <c r="A9" s="1" t="s">
        <v>8</v>
      </c>
      <c r="B9" s="4">
        <v>7.531459E9</v>
      </c>
      <c r="C9" s="4">
        <v>7.335845E9</v>
      </c>
      <c r="D9" s="4">
        <v>6.760733E9</v>
      </c>
      <c r="E9" s="4">
        <v>7.144722E9</v>
      </c>
      <c r="F9" s="4">
        <v>6.935856E9</v>
      </c>
      <c r="G9" s="4">
        <v>6.087399E9</v>
      </c>
      <c r="H9" s="4">
        <v>5.614325E9</v>
      </c>
      <c r="I9" s="4">
        <v>5.298859E9</v>
      </c>
      <c r="J9" s="4">
        <v>5.279273E9</v>
      </c>
      <c r="K9" s="4">
        <v>5.099465E9</v>
      </c>
      <c r="L9" s="4">
        <v>5.247477E9</v>
      </c>
      <c r="M9" s="4">
        <v>5.02581E9</v>
      </c>
      <c r="N9" s="4">
        <v>4.391157E9</v>
      </c>
      <c r="O9" s="4">
        <v>4.107331E9</v>
      </c>
      <c r="P9" s="4">
        <v>4.676848E9</v>
      </c>
      <c r="Q9" s="4">
        <v>4.496377E9</v>
      </c>
      <c r="R9" s="4">
        <v>4.419628E9</v>
      </c>
      <c r="S9" s="4">
        <v>4.109759E9</v>
      </c>
      <c r="T9" s="4">
        <v>4.097004E9</v>
      </c>
      <c r="U9" s="4">
        <v>3.979105E9</v>
      </c>
      <c r="V9" s="4">
        <v>3.896432E9</v>
      </c>
      <c r="W9" s="4">
        <v>3.594529E9</v>
      </c>
      <c r="X9" s="4">
        <v>3.609025E9</v>
      </c>
      <c r="Y9" s="4">
        <v>3.597195E9</v>
      </c>
      <c r="Z9" s="4">
        <v>3.463004E9</v>
      </c>
      <c r="AA9" s="4">
        <v>3.300082E9</v>
      </c>
      <c r="AB9" s="4">
        <v>3.258785E9</v>
      </c>
      <c r="AC9" s="4">
        <v>3.488247E9</v>
      </c>
      <c r="AD9" s="4">
        <v>3.270685E9</v>
      </c>
      <c r="AE9" s="4">
        <v>3.072063E9</v>
      </c>
      <c r="AF9" s="4">
        <v>3.074153E9</v>
      </c>
      <c r="AG9" s="4">
        <v>3.101908E9</v>
      </c>
      <c r="AH9" s="4">
        <v>3.029731E9</v>
      </c>
      <c r="AI9" s="4">
        <v>2.839198E9</v>
      </c>
      <c r="AJ9" s="4">
        <v>2.782521E9</v>
      </c>
      <c r="AK9" s="4">
        <v>2.788996E9</v>
      </c>
      <c r="AL9" s="4">
        <v>2.788872E9</v>
      </c>
      <c r="AM9" s="4">
        <v>2.605356E9</v>
      </c>
      <c r="AN9" s="4">
        <v>2.552993E9</v>
      </c>
      <c r="AO9" s="4">
        <v>2.591552E9</v>
      </c>
      <c r="AP9" s="4">
        <v>2.533766E9</v>
      </c>
      <c r="AQ9" s="4">
        <v>2.414411E9</v>
      </c>
      <c r="AR9" s="4">
        <v>2.397175E9</v>
      </c>
      <c r="AS9" s="4">
        <v>2.330436E9</v>
      </c>
      <c r="AT9" s="4">
        <v>2.147837E9</v>
      </c>
      <c r="AU9" s="4">
        <v>2.000864E9</v>
      </c>
      <c r="AV9" s="4">
        <v>2.009206E9</v>
      </c>
      <c r="AW9" s="4">
        <v>2.089722E9</v>
      </c>
      <c r="AX9" s="4">
        <v>1.973863E9</v>
      </c>
      <c r="AY9" s="4">
        <v>1.767121E9</v>
      </c>
      <c r="AZ9" s="4">
        <v>1.765433E9</v>
      </c>
      <c r="BA9" s="4">
        <v>1.885753E9</v>
      </c>
      <c r="BB9" s="4">
        <v>1.738439E9</v>
      </c>
      <c r="BC9" s="4">
        <v>1.604754E9</v>
      </c>
      <c r="BD9" s="4">
        <v>1.519578E9</v>
      </c>
      <c r="BE9" s="4">
        <v>1.680273E9</v>
      </c>
      <c r="BF9" s="4">
        <v>1.552586E9</v>
      </c>
      <c r="BG9" s="4">
        <v>1.454692E9</v>
      </c>
      <c r="BH9" s="4">
        <v>1.414955E9</v>
      </c>
      <c r="BI9" s="4">
        <v>1.619922E9</v>
      </c>
      <c r="BJ9" s="4">
        <v>1.490063E9</v>
      </c>
      <c r="BK9" s="4">
        <v>1.317097E9</v>
      </c>
      <c r="BL9" s="4">
        <v>1.288661E9</v>
      </c>
      <c r="BM9" s="4">
        <v>1.444313E9</v>
      </c>
      <c r="BN9" s="4">
        <v>1.432336E9</v>
      </c>
      <c r="BO9" s="4">
        <v>1.676057E9</v>
      </c>
      <c r="BP9" s="4">
        <v>1.735031E9</v>
      </c>
      <c r="BQ9" s="4">
        <v>1.636118E9</v>
      </c>
      <c r="BR9" s="4">
        <v>1.474414E9</v>
      </c>
      <c r="BS9" s="4">
        <v>1.574567E9</v>
      </c>
      <c r="BT9" s="4">
        <v>1.4607E9</v>
      </c>
      <c r="BU9" s="4">
        <v>1.465981E9</v>
      </c>
      <c r="BV9" s="4">
        <v>1.376537E9</v>
      </c>
      <c r="BW9" s="4">
        <v>1.558574E9</v>
      </c>
      <c r="BX9" s="4">
        <v>1.379543E9</v>
      </c>
      <c r="BY9" s="4">
        <v>1.277185E9</v>
      </c>
      <c r="BZ9" s="4">
        <v>1.157141E9</v>
      </c>
      <c r="CA9" s="4">
        <v>1.3732E9</v>
      </c>
      <c r="CB9" s="4">
        <v>1.184709E9</v>
      </c>
      <c r="CC9" s="4">
        <v>1.200701E9</v>
      </c>
      <c r="CD9" s="4">
        <v>1.123031E9</v>
      </c>
      <c r="CE9" s="4">
        <v>1.24912E9</v>
      </c>
      <c r="CF9" s="4">
        <v>1.0582E9</v>
      </c>
      <c r="CG9" s="4">
        <v>1.134449E9</v>
      </c>
      <c r="CH9" s="4">
        <v>1.131023E9</v>
      </c>
      <c r="CI9" s="4">
        <v>1.133215E9</v>
      </c>
      <c r="CJ9" s="4">
        <v>9.80856E8</v>
      </c>
      <c r="CK9" s="4">
        <v>9.05534E8</v>
      </c>
      <c r="CL9" s="4">
        <v>8.96235E8</v>
      </c>
      <c r="CM9" s="4">
        <v>1.173328E9</v>
      </c>
      <c r="CN9" s="4">
        <v>1.062175E9</v>
      </c>
      <c r="CO9" s="4">
        <v>9.95495E8</v>
      </c>
      <c r="CP9" s="4">
        <v>9.85715E8</v>
      </c>
      <c r="CQ9" s="4">
        <v>1.1055E9</v>
      </c>
      <c r="CR9" s="4">
        <v>9.511E8</v>
      </c>
      <c r="CS9" s="4">
        <v>9.392E8</v>
      </c>
      <c r="CT9" s="4">
        <v>8.11722E8</v>
      </c>
      <c r="CU9" s="4">
        <v>9.443E8</v>
      </c>
      <c r="CV9" s="4">
        <v>7.973E8</v>
      </c>
      <c r="CW9" s="4">
        <v>6.927E8</v>
      </c>
      <c r="CX9" s="4">
        <v>6.31954E8</v>
      </c>
      <c r="CY9" s="4">
        <v>7.373E8</v>
      </c>
      <c r="CZ9" s="4">
        <v>5.897E8</v>
      </c>
      <c r="DA9" s="4">
        <v>5.41E8</v>
      </c>
      <c r="DB9" s="4">
        <v>4.76103E8</v>
      </c>
      <c r="DC9" s="4">
        <v>6.234E8</v>
      </c>
      <c r="DD9" s="4">
        <v>5.137E8</v>
      </c>
      <c r="DE9" s="4">
        <v>5.261E8</v>
      </c>
      <c r="DF9" s="4">
        <v>4.88362E8</v>
      </c>
      <c r="DG9" s="4">
        <v>5.809E8</v>
      </c>
      <c r="DH9" s="4">
        <v>4.626E8</v>
      </c>
      <c r="DI9" s="4">
        <v>4.2E8</v>
      </c>
      <c r="DJ9" s="4">
        <v>3.56111E8</v>
      </c>
      <c r="DK9" s="4">
        <v>3.926E8</v>
      </c>
      <c r="DL9" s="4">
        <v>3.326E8</v>
      </c>
      <c r="DM9" s="4">
        <v>3.042E8</v>
      </c>
      <c r="DN9" s="4">
        <v>2.6E8</v>
      </c>
      <c r="DO9" s="4">
        <v>3.226E8</v>
      </c>
      <c r="DP9" s="4">
        <v>2.637E8</v>
      </c>
      <c r="DQ9" s="4">
        <v>2.769E8</v>
      </c>
      <c r="DR9" s="4">
        <v>2.168E8</v>
      </c>
      <c r="DS9" s="4">
        <v>2.581E8</v>
      </c>
      <c r="DT9" s="4">
        <v>2.152E8</v>
      </c>
      <c r="DU9" s="4">
        <v>2.174E8</v>
      </c>
      <c r="DV9" s="4">
        <v>1.728E8</v>
      </c>
      <c r="DW9" s="4">
        <v>2.352E8</v>
      </c>
      <c r="DX9" s="4">
        <v>1.976E8</v>
      </c>
      <c r="DY9" s="4">
        <v>1.876E8</v>
      </c>
      <c r="DZ9" s="4">
        <v>1.548E8</v>
      </c>
      <c r="EA9" s="4">
        <v>2.085E8</v>
      </c>
      <c r="EB9" s="4">
        <v>1.91E8</v>
      </c>
      <c r="EC9" s="4">
        <v>1.924E8</v>
      </c>
      <c r="ED9" s="4">
        <v>1.404E8</v>
      </c>
      <c r="EF9" s="4">
        <v>1.86E8</v>
      </c>
      <c r="EG9" s="4">
        <v>1.71E8</v>
      </c>
      <c r="EH9" s="4">
        <v>1.771E8</v>
      </c>
      <c r="EI9" s="4">
        <v>1.839E8</v>
      </c>
      <c r="EJ9" s="4">
        <v>1.782E8</v>
      </c>
    </row>
    <row r="10">
      <c r="A10" s="1" t="s">
        <v>9</v>
      </c>
      <c r="B10" s="4">
        <v>7.531459E9</v>
      </c>
      <c r="C10" s="4">
        <v>7.335845E9</v>
      </c>
      <c r="D10" s="4">
        <v>6.760733E9</v>
      </c>
      <c r="E10" s="4">
        <v>7.144722E9</v>
      </c>
      <c r="F10" s="4">
        <v>6.935856E9</v>
      </c>
      <c r="G10" s="4">
        <v>6.087399E9</v>
      </c>
      <c r="H10" s="4">
        <v>5.614325E9</v>
      </c>
      <c r="I10" s="4">
        <v>5.298859E9</v>
      </c>
      <c r="J10" s="4">
        <v>5.279273E9</v>
      </c>
      <c r="K10" s="4">
        <v>5.099465E9</v>
      </c>
      <c r="L10" s="4">
        <v>5.247477E9</v>
      </c>
      <c r="M10" s="4">
        <v>5.02581E9</v>
      </c>
      <c r="N10" s="4">
        <v>4.391157E9</v>
      </c>
      <c r="O10" s="4">
        <v>4.107331E9</v>
      </c>
      <c r="P10" s="4">
        <v>4.676848E9</v>
      </c>
      <c r="Q10" s="4">
        <v>4.496377E9</v>
      </c>
      <c r="R10" s="4">
        <v>4.419628E9</v>
      </c>
      <c r="S10" s="4">
        <v>4.109759E9</v>
      </c>
      <c r="T10" s="4">
        <v>4.097004E9</v>
      </c>
      <c r="U10" s="4">
        <v>3.979105E9</v>
      </c>
      <c r="V10" s="4">
        <v>3.896432E9</v>
      </c>
      <c r="W10" s="4">
        <v>3.594529E9</v>
      </c>
      <c r="X10" s="4">
        <v>3.609025E9</v>
      </c>
      <c r="Y10" s="4">
        <v>3.597195E9</v>
      </c>
      <c r="Z10" s="4">
        <v>3.463004E9</v>
      </c>
      <c r="AA10" s="4">
        <v>3.300082E9</v>
      </c>
      <c r="AB10" s="4">
        <v>3.258785E9</v>
      </c>
      <c r="AC10" s="4">
        <v>3.488247E9</v>
      </c>
      <c r="AD10" s="4">
        <v>3.270685E9</v>
      </c>
      <c r="AE10" s="4">
        <v>3.072063E9</v>
      </c>
      <c r="AF10" s="4">
        <v>3.074153E9</v>
      </c>
      <c r="AG10" s="4">
        <v>3.101908E9</v>
      </c>
      <c r="AH10" s="4">
        <v>3.029731E9</v>
      </c>
      <c r="AI10" s="4">
        <v>2.839198E9</v>
      </c>
      <c r="AJ10" s="4">
        <v>2.782521E9</v>
      </c>
      <c r="AK10" s="4">
        <v>2.788996E9</v>
      </c>
      <c r="AL10" s="4">
        <v>2.788872E9</v>
      </c>
      <c r="AM10" s="4">
        <v>2.605356E9</v>
      </c>
      <c r="AN10" s="4">
        <v>2.552993E9</v>
      </c>
      <c r="AO10" s="4">
        <v>2.591552E9</v>
      </c>
      <c r="AP10" s="4">
        <v>2.533766E9</v>
      </c>
      <c r="AQ10" s="4">
        <v>2.414411E9</v>
      </c>
      <c r="AR10" s="4">
        <v>2.397175E9</v>
      </c>
    </row>
    <row r="11">
      <c r="A11" s="1" t="s">
        <v>10</v>
      </c>
      <c r="E11" s="4">
        <v>3.21481E8</v>
      </c>
      <c r="F11" s="4">
        <v>3.2749E8</v>
      </c>
      <c r="G11" s="4">
        <v>2.80282E8</v>
      </c>
      <c r="H11" s="4">
        <v>2.47295E8</v>
      </c>
      <c r="I11" s="4">
        <v>2.73939E8</v>
      </c>
      <c r="J11" s="4">
        <v>2.72768E8</v>
      </c>
      <c r="K11" s="4">
        <v>2.37588E8</v>
      </c>
      <c r="L11" s="4">
        <v>1.99405E8</v>
      </c>
      <c r="M11" s="4">
        <v>1.9704E8</v>
      </c>
      <c r="N11" s="4">
        <v>2.10471E8</v>
      </c>
      <c r="O11" s="4">
        <v>1.94049E8</v>
      </c>
      <c r="P11" s="4">
        <v>1.84163E8</v>
      </c>
      <c r="Q11" s="4">
        <v>1.92901E8</v>
      </c>
      <c r="R11" s="4">
        <v>1.7825E8</v>
      </c>
      <c r="S11" s="4">
        <v>1.77735E8</v>
      </c>
      <c r="T11" s="4">
        <v>2.72725E8</v>
      </c>
      <c r="U11" s="4">
        <v>2.75904E8</v>
      </c>
      <c r="V11" s="4">
        <v>2.87753E8</v>
      </c>
      <c r="W11" s="4">
        <v>2.589E8</v>
      </c>
      <c r="X11" s="4">
        <v>2.63121E8</v>
      </c>
      <c r="Y11" s="4">
        <v>2.30269E8</v>
      </c>
      <c r="Z11" s="4">
        <v>2.58559E8</v>
      </c>
      <c r="AA11" s="4">
        <v>2.32398E8</v>
      </c>
      <c r="AB11" s="4">
        <v>2.20021E8</v>
      </c>
      <c r="AC11" s="4">
        <v>2.25443E8</v>
      </c>
      <c r="AD11" s="4">
        <v>2.29348E8</v>
      </c>
      <c r="AE11" s="4">
        <v>2.10769E8</v>
      </c>
      <c r="AF11" s="4">
        <v>1.93467E8</v>
      </c>
      <c r="AG11" s="4">
        <v>1.92476E8</v>
      </c>
      <c r="AH11" s="4">
        <v>1.99945E8</v>
      </c>
      <c r="AI11" s="4">
        <v>1.80586E8</v>
      </c>
      <c r="AJ11" s="4">
        <v>1.70265E8</v>
      </c>
      <c r="AK11" s="4">
        <v>1.73981E8</v>
      </c>
      <c r="AL11" s="4">
        <v>1.75048E8</v>
      </c>
      <c r="AM11" s="4">
        <v>1.7166E8</v>
      </c>
      <c r="AN11" s="4">
        <v>1.47048E8</v>
      </c>
      <c r="AO11" s="4">
        <v>1.37247E8</v>
      </c>
      <c r="AP11" s="4">
        <v>1.53863E8</v>
      </c>
      <c r="AQ11" s="4">
        <v>1.54539E8</v>
      </c>
      <c r="AR11" s="4">
        <v>1.39129E8</v>
      </c>
      <c r="AS11" s="4">
        <v>1.31622E8</v>
      </c>
      <c r="AT11" s="4">
        <v>1.42977E8</v>
      </c>
      <c r="AU11" s="4">
        <v>1.35131E8</v>
      </c>
      <c r="AV11" s="4">
        <v>1.39742E8</v>
      </c>
      <c r="AW11" s="4">
        <v>1.35746E8</v>
      </c>
      <c r="AX11" s="4">
        <v>1.42433E8</v>
      </c>
      <c r="AY11" s="4">
        <v>1.37313E8</v>
      </c>
      <c r="AZ11" s="4">
        <v>1.04946E8</v>
      </c>
      <c r="BA11" s="4">
        <v>1.21422E8</v>
      </c>
      <c r="BB11" s="4">
        <v>1.14824E8</v>
      </c>
      <c r="BC11" s="4">
        <v>1.11115E8</v>
      </c>
      <c r="BD11" s="4">
        <v>9.6252E7</v>
      </c>
      <c r="BE11" s="4">
        <v>6.8754E7</v>
      </c>
      <c r="BF11" s="4">
        <v>7.2368E7</v>
      </c>
      <c r="BG11" s="4">
        <v>6.9393E7</v>
      </c>
      <c r="BH11" s="4">
        <v>6.6183E7</v>
      </c>
      <c r="BI11" s="4">
        <v>7.2799E7</v>
      </c>
      <c r="BJ11" s="4">
        <v>6.8287E7</v>
      </c>
      <c r="BK11" s="4">
        <v>6.4508E7</v>
      </c>
      <c r="BL11" s="4">
        <v>5.9465E7</v>
      </c>
      <c r="BM11" s="4">
        <v>5.7572E7</v>
      </c>
      <c r="BN11" s="4">
        <v>5.702E7</v>
      </c>
      <c r="BO11" s="4">
        <v>7.1993E7</v>
      </c>
      <c r="BP11" s="4">
        <v>7.1212E7</v>
      </c>
      <c r="BQ11" s="4">
        <v>7.9569E7</v>
      </c>
      <c r="BR11" s="4">
        <v>6.714E7</v>
      </c>
      <c r="BS11" s="4">
        <v>6.1549E7</v>
      </c>
      <c r="BT11" s="4">
        <v>5.8305E7</v>
      </c>
      <c r="BU11" s="4">
        <v>5.9166E7</v>
      </c>
      <c r="BV11" s="4">
        <v>5.3702E7</v>
      </c>
    </row>
    <row r="12">
      <c r="A12" s="1" t="s">
        <v>11</v>
      </c>
      <c r="BD12" s="1">
        <v>0.0</v>
      </c>
      <c r="BE12" s="1">
        <v>0.0</v>
      </c>
      <c r="BF12" s="1">
        <v>0.0</v>
      </c>
      <c r="BG12" s="1">
        <v>0.0</v>
      </c>
      <c r="BH12" s="4">
        <v>4600000.0</v>
      </c>
      <c r="BI12" s="1">
        <v>0.0</v>
      </c>
      <c r="BJ12" s="4">
        <v>1.7395E7</v>
      </c>
      <c r="BK12" s="4">
        <v>1.5247E7</v>
      </c>
      <c r="BL12" s="4">
        <v>1.7297E7</v>
      </c>
      <c r="BM12" s="4">
        <v>3.786E7</v>
      </c>
      <c r="BN12" s="4">
        <v>2.4321E7</v>
      </c>
      <c r="BO12" s="4">
        <v>4.9627E7</v>
      </c>
      <c r="BP12" s="4">
        <v>1002000.0</v>
      </c>
      <c r="BQ12" s="4">
        <v>2367000.0</v>
      </c>
      <c r="BR12" s="4">
        <v>1.1912E7</v>
      </c>
      <c r="BS12" s="4">
        <v>1.4348E7</v>
      </c>
      <c r="BT12" s="4">
        <v>3.3708E7</v>
      </c>
      <c r="BU12" s="4">
        <v>2.1525E7</v>
      </c>
      <c r="BV12" s="4">
        <v>2.4908E7</v>
      </c>
      <c r="BW12" s="4">
        <v>1.7305E7</v>
      </c>
      <c r="BX12" s="4">
        <v>1.0997E7</v>
      </c>
      <c r="BY12" s="4">
        <v>2.1852E7</v>
      </c>
      <c r="BZ12" s="4">
        <v>3.0413E7</v>
      </c>
      <c r="CA12" s="4">
        <v>2.1729E7</v>
      </c>
      <c r="CB12" s="4">
        <v>2.2829E7</v>
      </c>
      <c r="CC12" s="4">
        <v>2.6664E7</v>
      </c>
      <c r="CD12" s="4">
        <v>3.386E7</v>
      </c>
      <c r="CE12" s="4">
        <v>4.3095E7</v>
      </c>
      <c r="CF12" s="4">
        <v>2.5552E7</v>
      </c>
      <c r="CG12" s="4">
        <v>8.0974E7</v>
      </c>
      <c r="CH12" s="4">
        <v>1.05091E8</v>
      </c>
      <c r="CI12" s="4">
        <v>9.0307E7</v>
      </c>
      <c r="CJ12" s="4">
        <v>2.4962E7</v>
      </c>
      <c r="CK12" s="4">
        <v>2.1912E7</v>
      </c>
      <c r="CL12" s="4">
        <v>2.1514E7</v>
      </c>
      <c r="CM12" s="4">
        <v>7743000.0</v>
      </c>
      <c r="CN12" s="4">
        <v>6936000.0</v>
      </c>
      <c r="CO12" s="4">
        <v>6682000.0</v>
      </c>
      <c r="CP12" s="4">
        <v>5995000.0</v>
      </c>
      <c r="CT12" s="4">
        <v>2523000.0</v>
      </c>
      <c r="CX12" s="4">
        <v>5743000.0</v>
      </c>
      <c r="DB12" s="4">
        <v>3689000.0</v>
      </c>
      <c r="DF12" s="4">
        <v>1.1989E7</v>
      </c>
      <c r="DJ12" s="4">
        <v>1.1785E7</v>
      </c>
    </row>
    <row r="13">
      <c r="A13" s="1" t="s">
        <v>12</v>
      </c>
      <c r="BD13" s="1">
        <v>0.0</v>
      </c>
      <c r="BE13" s="1">
        <v>0.0</v>
      </c>
      <c r="BF13" s="1">
        <v>0.0</v>
      </c>
      <c r="BG13" s="1">
        <v>0.0</v>
      </c>
      <c r="BH13" s="4">
        <v>4600000.0</v>
      </c>
      <c r="BI13" s="1">
        <v>0.0</v>
      </c>
      <c r="BJ13" s="4">
        <v>1.7395E7</v>
      </c>
      <c r="BK13" s="4">
        <v>1.5247E7</v>
      </c>
      <c r="BL13" s="4">
        <v>1.7297E7</v>
      </c>
      <c r="BM13" s="4">
        <v>3.786E7</v>
      </c>
      <c r="BN13" s="4">
        <v>2.4321E7</v>
      </c>
      <c r="BO13" s="4">
        <v>4.9627E7</v>
      </c>
      <c r="BP13" s="4">
        <v>1002000.0</v>
      </c>
      <c r="BQ13" s="4">
        <v>2367000.0</v>
      </c>
      <c r="BR13" s="4">
        <v>1.1912E7</v>
      </c>
      <c r="BS13" s="4">
        <v>1.4348E7</v>
      </c>
      <c r="BT13" s="4">
        <v>3.3708E7</v>
      </c>
      <c r="BU13" s="4">
        <v>2.1525E7</v>
      </c>
      <c r="BV13" s="4">
        <v>2.4908E7</v>
      </c>
      <c r="BW13" s="4">
        <v>1.7305E7</v>
      </c>
      <c r="BX13" s="4">
        <v>1.0997E7</v>
      </c>
      <c r="BY13" s="4">
        <v>2.1852E7</v>
      </c>
      <c r="BZ13" s="4">
        <v>3.0413E7</v>
      </c>
      <c r="CA13" s="4">
        <v>2.1729E7</v>
      </c>
      <c r="CB13" s="4">
        <v>2.2829E7</v>
      </c>
      <c r="CC13" s="4">
        <v>2.6664E7</v>
      </c>
      <c r="CD13" s="4">
        <v>3.386E7</v>
      </c>
      <c r="CE13" s="4">
        <v>4.3095E7</v>
      </c>
      <c r="CF13" s="4">
        <v>2.5552E7</v>
      </c>
      <c r="CG13" s="4">
        <v>8.0974E7</v>
      </c>
      <c r="CH13" s="4">
        <v>1.05091E8</v>
      </c>
      <c r="CI13" s="4">
        <v>9.0307E7</v>
      </c>
      <c r="CJ13" s="4">
        <v>2.4962E7</v>
      </c>
      <c r="CK13" s="4">
        <v>2.1912E7</v>
      </c>
      <c r="CL13" s="4">
        <v>2.1514E7</v>
      </c>
      <c r="CM13" s="4">
        <v>7743000.0</v>
      </c>
      <c r="CN13" s="4">
        <v>6936000.0</v>
      </c>
      <c r="CO13" s="4">
        <v>6682000.0</v>
      </c>
      <c r="CP13" s="4">
        <v>5995000.0</v>
      </c>
      <c r="CT13" s="4">
        <v>2523000.0</v>
      </c>
      <c r="CX13" s="4">
        <v>5743000.0</v>
      </c>
      <c r="DB13" s="4">
        <v>3689000.0</v>
      </c>
      <c r="DF13" s="4">
        <v>1.1989E7</v>
      </c>
      <c r="DJ13" s="4">
        <v>1.1785E7</v>
      </c>
    </row>
    <row r="14">
      <c r="A14" s="1" t="s">
        <v>13</v>
      </c>
      <c r="B14" s="4">
        <v>3.77772E8</v>
      </c>
      <c r="C14" s="4">
        <v>3.55688E8</v>
      </c>
      <c r="D14" s="4">
        <v>3.02925E8</v>
      </c>
      <c r="E14" s="4">
        <v>3.21481E8</v>
      </c>
      <c r="F14" s="4">
        <v>3.2749E8</v>
      </c>
      <c r="G14" s="4">
        <v>2.80282E8</v>
      </c>
      <c r="H14" s="4">
        <v>2.47295E8</v>
      </c>
      <c r="I14" s="4">
        <v>2.73939E8</v>
      </c>
      <c r="J14" s="4">
        <v>2.72768E8</v>
      </c>
      <c r="K14" s="4">
        <v>2.37588E8</v>
      </c>
      <c r="L14" s="4">
        <v>1.99405E8</v>
      </c>
      <c r="M14" s="4">
        <v>1.9704E8</v>
      </c>
      <c r="N14" s="4">
        <v>2.10471E8</v>
      </c>
      <c r="O14" s="4">
        <v>1.94049E8</v>
      </c>
      <c r="P14" s="4">
        <v>1.84163E8</v>
      </c>
      <c r="Q14" s="4">
        <v>1.92901E8</v>
      </c>
      <c r="R14" s="4">
        <v>1.7825E8</v>
      </c>
      <c r="S14" s="4">
        <v>1.77735E8</v>
      </c>
      <c r="T14" s="4">
        <v>2.72725E8</v>
      </c>
      <c r="U14" s="4">
        <v>2.75904E8</v>
      </c>
      <c r="V14" s="4">
        <v>2.87753E8</v>
      </c>
      <c r="W14" s="4">
        <v>2.589E8</v>
      </c>
      <c r="X14" s="4">
        <v>2.63121E8</v>
      </c>
      <c r="Y14" s="4">
        <v>2.30269E8</v>
      </c>
      <c r="Z14" s="4">
        <v>2.58559E8</v>
      </c>
      <c r="AA14" s="4">
        <v>2.32398E8</v>
      </c>
      <c r="AB14" s="4">
        <v>2.20021E8</v>
      </c>
      <c r="AC14" s="4">
        <v>2.25443E8</v>
      </c>
      <c r="AD14" s="4">
        <v>2.29348E8</v>
      </c>
      <c r="AE14" s="4">
        <v>2.10769E8</v>
      </c>
      <c r="AF14" s="4">
        <v>1.93467E8</v>
      </c>
      <c r="AG14" s="4">
        <v>1.92476E8</v>
      </c>
      <c r="AH14" s="4">
        <v>1.99945E8</v>
      </c>
      <c r="AI14" s="4">
        <v>1.80586E8</v>
      </c>
      <c r="AJ14" s="4">
        <v>1.70265E8</v>
      </c>
      <c r="AK14" s="4">
        <v>1.73981E8</v>
      </c>
      <c r="AL14" s="4">
        <v>1.75048E8</v>
      </c>
      <c r="AM14" s="4">
        <v>1.7166E8</v>
      </c>
      <c r="AN14" s="4">
        <v>1.47048E8</v>
      </c>
      <c r="AO14" s="4">
        <v>1.37247E8</v>
      </c>
      <c r="AP14" s="4">
        <v>1.53863E8</v>
      </c>
      <c r="AQ14" s="4">
        <v>1.54539E8</v>
      </c>
      <c r="AR14" s="4">
        <v>1.39129E8</v>
      </c>
      <c r="BW14" s="4">
        <v>1.00523E8</v>
      </c>
      <c r="BX14" s="4">
        <v>9.4637E7</v>
      </c>
      <c r="BY14" s="4">
        <v>7.3738E7</v>
      </c>
      <c r="BZ14" s="4">
        <v>6.6383E7</v>
      </c>
      <c r="CA14" s="4">
        <v>6.5301E7</v>
      </c>
      <c r="CB14" s="4">
        <v>5.7494E7</v>
      </c>
      <c r="CC14" s="4">
        <v>5.208E7</v>
      </c>
      <c r="CD14" s="4">
        <v>4.5699E7</v>
      </c>
      <c r="CE14" s="4">
        <v>6.1077E7</v>
      </c>
      <c r="CF14" s="4">
        <v>6.5263E7</v>
      </c>
      <c r="CG14" s="4">
        <v>8.5419E7</v>
      </c>
      <c r="CH14" s="4">
        <v>5.8408E7</v>
      </c>
      <c r="CI14" s="4">
        <v>4.86E7</v>
      </c>
      <c r="CJ14" s="4">
        <v>5.3231E7</v>
      </c>
      <c r="CK14" s="4">
        <v>3.7896E7</v>
      </c>
      <c r="CL14" s="4">
        <v>4.4868E7</v>
      </c>
      <c r="CM14" s="4">
        <v>6.2956E7</v>
      </c>
      <c r="CN14" s="4">
        <v>8.1205E7</v>
      </c>
      <c r="CO14" s="4">
        <v>1.06471E8</v>
      </c>
      <c r="CP14" s="4">
        <v>4.5036E7</v>
      </c>
      <c r="CQ14" s="4">
        <v>7.25E7</v>
      </c>
      <c r="CR14" s="4">
        <v>5.24E7</v>
      </c>
      <c r="CS14" s="4">
        <v>3.43E7</v>
      </c>
      <c r="CT14" s="4">
        <v>4.2378E7</v>
      </c>
      <c r="CU14" s="4">
        <v>4.08E7</v>
      </c>
      <c r="CV14" s="4">
        <v>4.37E7</v>
      </c>
      <c r="CW14" s="4">
        <v>2.67E7</v>
      </c>
      <c r="CX14" s="4">
        <v>2.1884E7</v>
      </c>
      <c r="CY14" s="4">
        <v>2.54E7</v>
      </c>
      <c r="CZ14" s="4">
        <v>2.38E7</v>
      </c>
      <c r="DA14" s="4">
        <v>2.24E7</v>
      </c>
      <c r="DB14" s="4">
        <v>1.8244E7</v>
      </c>
      <c r="DC14" s="4">
        <v>2.83E7</v>
      </c>
      <c r="DD14" s="4">
        <v>2.55E7</v>
      </c>
      <c r="DE14" s="4">
        <v>2.5E7</v>
      </c>
      <c r="DF14" s="4">
        <v>1.1548E7</v>
      </c>
      <c r="DG14" s="4">
        <v>2.45E7</v>
      </c>
      <c r="DH14" s="4">
        <v>2.5E7</v>
      </c>
      <c r="DI14" s="4">
        <v>2.58E7</v>
      </c>
      <c r="DJ14" s="4">
        <v>9212000.0</v>
      </c>
      <c r="DK14" s="4">
        <v>2.41E7</v>
      </c>
      <c r="DL14" s="4">
        <v>2.37E7</v>
      </c>
      <c r="DM14" s="4">
        <v>1.91E7</v>
      </c>
      <c r="DN14" s="4">
        <v>1.96E7</v>
      </c>
      <c r="DO14" s="4">
        <v>2.13E7</v>
      </c>
      <c r="DP14" s="4">
        <v>1.88E7</v>
      </c>
      <c r="DQ14" s="4">
        <v>1.54E7</v>
      </c>
      <c r="DR14" s="4">
        <v>1.39E7</v>
      </c>
      <c r="DS14" s="4">
        <v>1.39E7</v>
      </c>
      <c r="DT14" s="4">
        <v>1.33E7</v>
      </c>
      <c r="DU14" s="4">
        <v>1.36E7</v>
      </c>
      <c r="DV14" s="4">
        <v>1.17E7</v>
      </c>
      <c r="DW14" s="4">
        <v>1.16E7</v>
      </c>
      <c r="DX14" s="4">
        <v>1.25E7</v>
      </c>
      <c r="DY14" s="4">
        <v>1.06E7</v>
      </c>
      <c r="DZ14" s="4">
        <v>9500000.0</v>
      </c>
      <c r="EA14" s="4">
        <v>8600000.0</v>
      </c>
      <c r="EB14" s="4">
        <v>8100000.0</v>
      </c>
      <c r="EC14" s="4">
        <v>9200000.0</v>
      </c>
      <c r="ED14" s="4">
        <v>8300000.0</v>
      </c>
      <c r="EE14" s="4">
        <v>7300000.0</v>
      </c>
      <c r="EF14" s="4">
        <v>7000000.0</v>
      </c>
      <c r="EG14" s="4">
        <v>5900000.0</v>
      </c>
      <c r="EH14" s="4">
        <v>6000000.0</v>
      </c>
      <c r="EI14" s="4">
        <v>5100000.0</v>
      </c>
      <c r="EJ14" s="4">
        <v>4400000.0</v>
      </c>
    </row>
    <row r="15">
      <c r="A15" s="1" t="s">
        <v>14</v>
      </c>
      <c r="B15" s="4">
        <v>2.1981578E10</v>
      </c>
      <c r="C15" s="4">
        <v>2.1748473E10</v>
      </c>
      <c r="D15" s="4">
        <v>2.1502358E10</v>
      </c>
      <c r="E15" s="4">
        <v>2.0990142E10</v>
      </c>
      <c r="F15" s="4">
        <v>2.0556364E10</v>
      </c>
      <c r="G15" s="4">
        <v>2.0219438E10</v>
      </c>
      <c r="H15" s="4">
        <v>2.0023528E10</v>
      </c>
      <c r="I15" s="4">
        <v>1.9743468E10</v>
      </c>
      <c r="J15" s="4">
        <v>1.949509E10</v>
      </c>
      <c r="K15" s="4">
        <v>1.9194953E10</v>
      </c>
      <c r="L15" s="4">
        <v>1.8948405E10</v>
      </c>
      <c r="M15" s="4">
        <v>1.862001E10</v>
      </c>
      <c r="N15" s="4">
        <v>1.8250025E10</v>
      </c>
      <c r="O15" s="4">
        <v>1.785583E10</v>
      </c>
      <c r="P15" s="4">
        <v>1.7647216E10</v>
      </c>
      <c r="Q15" s="4">
        <v>1.7344248E10</v>
      </c>
      <c r="R15" s="4">
        <v>1.6998391E10</v>
      </c>
      <c r="S15" s="4">
        <v>1.6720515E10</v>
      </c>
      <c r="T15" s="4">
        <v>8.541018E9</v>
      </c>
      <c r="U15" s="4">
        <v>8.490677E9</v>
      </c>
      <c r="V15" s="4">
        <v>8.426123E9</v>
      </c>
      <c r="W15" s="4">
        <v>8.327194E9</v>
      </c>
      <c r="X15" s="4">
        <v>8.269059E9</v>
      </c>
      <c r="Y15" s="4">
        <v>8.221422E9</v>
      </c>
      <c r="Z15" s="4">
        <v>8.140833E9</v>
      </c>
      <c r="AA15" s="4">
        <v>8.047406E9</v>
      </c>
      <c r="AB15" s="4">
        <v>7.994527E9</v>
      </c>
      <c r="AC15" s="4">
        <v>7.948564E9</v>
      </c>
      <c r="AD15" s="4">
        <v>7.909319E9</v>
      </c>
      <c r="AE15" s="4">
        <v>7.839038E9</v>
      </c>
      <c r="AF15" s="4">
        <v>7.825475E9</v>
      </c>
      <c r="AG15" s="4">
        <v>7.799518E9</v>
      </c>
      <c r="AH15" s="4">
        <v>7.770348E9</v>
      </c>
      <c r="AI15" s="4">
        <v>7.71165E9</v>
      </c>
      <c r="AJ15" s="4">
        <v>7.691495E9</v>
      </c>
      <c r="AK15" s="4">
        <v>7.69824E9</v>
      </c>
      <c r="AL15" s="4">
        <v>7.685163E9</v>
      </c>
      <c r="AM15" s="4">
        <v>7.658538E9</v>
      </c>
      <c r="AN15" s="4">
        <v>7.661917E9</v>
      </c>
      <c r="AO15" s="4">
        <v>7.871672E9</v>
      </c>
      <c r="AP15" s="4">
        <v>7.834887E9</v>
      </c>
      <c r="AQ15" s="4">
        <v>7.769221E9</v>
      </c>
      <c r="AR15" s="4">
        <v>7.690569E9</v>
      </c>
      <c r="AS15" s="4">
        <v>7.655485E9</v>
      </c>
      <c r="AT15" s="4">
        <v>7.58903E9</v>
      </c>
      <c r="AU15" s="4">
        <v>7.496473E9</v>
      </c>
      <c r="AV15" s="4">
        <v>7.413446E9</v>
      </c>
      <c r="AW15" s="4">
        <v>7.343027E9</v>
      </c>
      <c r="AX15" s="4">
        <v>7.256322E9</v>
      </c>
      <c r="AY15" s="4">
        <v>7.207967E9</v>
      </c>
      <c r="AZ15" s="4">
        <v>7.178397E9</v>
      </c>
      <c r="BA15" s="4">
        <v>7.076816E9</v>
      </c>
      <c r="BB15" s="4">
        <v>7.04479E9</v>
      </c>
      <c r="BC15" s="4">
        <v>7.038498E9</v>
      </c>
      <c r="BD15" s="4">
        <v>7.01807E9</v>
      </c>
      <c r="BE15" s="4">
        <v>7.015218E9</v>
      </c>
      <c r="BF15" s="4">
        <v>6.994165E9</v>
      </c>
      <c r="BG15" s="4">
        <v>7.016653E9</v>
      </c>
      <c r="BH15" s="4">
        <v>7.019074E9</v>
      </c>
      <c r="BI15" s="4">
        <v>7.053804E9</v>
      </c>
      <c r="BJ15" s="4">
        <v>7.056989E9</v>
      </c>
      <c r="BK15" s="4">
        <v>7.067859E9</v>
      </c>
      <c r="BL15" s="4">
        <v>7.138687E9</v>
      </c>
      <c r="BM15" s="4">
        <v>1.288152E9</v>
      </c>
      <c r="BN15" s="4">
        <v>1.297766E9</v>
      </c>
      <c r="BO15" s="4">
        <v>1.288312E9</v>
      </c>
      <c r="BP15" s="4">
        <v>1.291317E9</v>
      </c>
      <c r="BQ15" s="4">
        <v>1.254712E9</v>
      </c>
      <c r="BR15" s="4">
        <v>1.229262E9</v>
      </c>
      <c r="BS15" s="4">
        <v>1.186131E9</v>
      </c>
      <c r="BT15" s="4">
        <v>1.141703E9</v>
      </c>
      <c r="BU15" s="4">
        <v>1.121343E9</v>
      </c>
      <c r="BV15" s="4">
        <v>1.110102E9</v>
      </c>
      <c r="BW15" s="4">
        <v>1.105783E9</v>
      </c>
      <c r="BX15" s="4">
        <v>1.068363E9</v>
      </c>
      <c r="BY15" s="4">
        <v>1.044111E9</v>
      </c>
      <c r="BZ15" s="4">
        <v>1.000494E9</v>
      </c>
      <c r="CA15" s="4">
        <v>9.90494E8</v>
      </c>
      <c r="CB15" s="4">
        <v>9.98073E8</v>
      </c>
      <c r="CC15" s="4">
        <v>1.000576E9</v>
      </c>
      <c r="CD15" s="4">
        <v>1.009245E9</v>
      </c>
      <c r="CE15" s="4">
        <v>1.020771E9</v>
      </c>
      <c r="CF15" s="4">
        <v>1.021124E9</v>
      </c>
      <c r="CG15" s="4">
        <v>1.000466E9</v>
      </c>
      <c r="CH15" s="4">
        <v>9.96338E8</v>
      </c>
      <c r="CI15" s="4">
        <v>1.122325E9</v>
      </c>
      <c r="CJ15" s="4">
        <v>1.189645E9</v>
      </c>
      <c r="CK15" s="4">
        <v>1.175358E9</v>
      </c>
      <c r="CL15" s="4">
        <v>1.157535E9</v>
      </c>
      <c r="CM15" s="4">
        <v>5.10902E8</v>
      </c>
      <c r="CN15" s="4">
        <v>4.62606E8</v>
      </c>
      <c r="CO15" s="4">
        <v>3.81225E8</v>
      </c>
      <c r="CP15" s="4">
        <v>3.55406E8</v>
      </c>
      <c r="CQ15" s="4">
        <v>3.354E8</v>
      </c>
      <c r="CR15" s="4">
        <v>3.133E8</v>
      </c>
      <c r="CS15" s="4">
        <v>3.263E8</v>
      </c>
      <c r="CT15" s="4">
        <v>3.32867E8</v>
      </c>
      <c r="CU15" s="4">
        <v>2.956E8</v>
      </c>
      <c r="CV15" s="4">
        <v>2.77E8</v>
      </c>
      <c r="CW15" s="4">
        <v>2.599E8</v>
      </c>
      <c r="CX15" s="4">
        <v>2.48129E8</v>
      </c>
      <c r="CY15" s="4">
        <v>2.437E8</v>
      </c>
      <c r="CZ15" s="4">
        <v>2.262E8</v>
      </c>
      <c r="DA15" s="4">
        <v>1.992E8</v>
      </c>
      <c r="DB15" s="4">
        <v>2.13548E8</v>
      </c>
      <c r="DC15" s="4">
        <v>1.845E8</v>
      </c>
      <c r="DD15" s="4">
        <v>1.677E8</v>
      </c>
      <c r="DE15" s="4">
        <v>1.621E8</v>
      </c>
      <c r="DF15" s="4">
        <v>1.63753E8</v>
      </c>
      <c r="DG15" s="4">
        <v>1.595E8</v>
      </c>
      <c r="DH15" s="4">
        <v>1.454E8</v>
      </c>
      <c r="DI15" s="4">
        <v>1.351E8</v>
      </c>
      <c r="DJ15" s="4">
        <v>1.30715E8</v>
      </c>
      <c r="DK15" s="4">
        <v>1.126E8</v>
      </c>
      <c r="DL15" s="4">
        <v>9.79E7</v>
      </c>
      <c r="DM15" s="4">
        <v>8.62E7</v>
      </c>
      <c r="DN15" s="4">
        <v>8.22E7</v>
      </c>
      <c r="DO15" s="4">
        <v>7.73E7</v>
      </c>
      <c r="DP15" s="4">
        <v>7.11E7</v>
      </c>
      <c r="DQ15" s="4">
        <v>6.43E7</v>
      </c>
      <c r="DR15" s="4">
        <v>6.07E7</v>
      </c>
      <c r="DS15" s="4">
        <v>5.62E7</v>
      </c>
      <c r="DT15" s="4">
        <v>5.13E7</v>
      </c>
      <c r="DU15" s="4">
        <v>4.79E7</v>
      </c>
      <c r="DV15" s="4">
        <v>4.49E7</v>
      </c>
      <c r="DW15" s="4">
        <v>4.26E7</v>
      </c>
      <c r="DX15" s="4">
        <v>4.11E7</v>
      </c>
      <c r="DY15" s="4">
        <v>4.0E7</v>
      </c>
      <c r="DZ15" s="4">
        <v>3.95E7</v>
      </c>
      <c r="EA15" s="4">
        <v>4.02E7</v>
      </c>
      <c r="EB15" s="4">
        <v>3.91E7</v>
      </c>
      <c r="EC15" s="4">
        <v>3.88E7</v>
      </c>
      <c r="ED15" s="4">
        <v>3.86E7</v>
      </c>
      <c r="EE15" s="4">
        <v>3.75E7</v>
      </c>
      <c r="EF15" s="4">
        <v>3.34E7</v>
      </c>
      <c r="EG15" s="4">
        <v>2.77E7</v>
      </c>
      <c r="EH15" s="4">
        <v>3.45E7</v>
      </c>
      <c r="EI15" s="4">
        <v>3.82E7</v>
      </c>
      <c r="EJ15" s="4">
        <v>3.82E7</v>
      </c>
    </row>
    <row r="16">
      <c r="A16" s="1" t="s">
        <v>15</v>
      </c>
      <c r="B16" s="4">
        <v>1.6379301E10</v>
      </c>
      <c r="C16" s="4">
        <v>1.6146657E10</v>
      </c>
      <c r="D16" s="4">
        <v>1.5906323E10</v>
      </c>
      <c r="E16" s="4">
        <v>1.5396824E10</v>
      </c>
      <c r="F16" s="4">
        <v>1.4967412E10</v>
      </c>
      <c r="G16" s="4">
        <v>1.463418E10</v>
      </c>
      <c r="H16" s="4">
        <v>1.4439057E10</v>
      </c>
      <c r="I16" s="4">
        <v>1.4160537E10</v>
      </c>
      <c r="J16" s="4">
        <v>1.3909274E10</v>
      </c>
      <c r="K16" s="4">
        <v>1.3614144E10</v>
      </c>
      <c r="L16" s="4">
        <v>1.3373327E10</v>
      </c>
      <c r="M16" s="4">
        <v>1.3045157E10</v>
      </c>
      <c r="N16" s="4">
        <v>1.2675787E10</v>
      </c>
      <c r="O16" s="4">
        <v>1.2280946E10</v>
      </c>
      <c r="P16" s="4">
        <v>1.2074542E10</v>
      </c>
      <c r="Q16" s="4">
        <v>1.1770451E10</v>
      </c>
      <c r="R16" s="4">
        <v>1.1425752E10</v>
      </c>
      <c r="S16" s="4">
        <v>1.1148751E10</v>
      </c>
      <c r="T16" s="4">
        <v>2.970806E9</v>
      </c>
      <c r="U16" s="4">
        <v>2.921943E9</v>
      </c>
      <c r="V16" s="4">
        <v>2.857274E9</v>
      </c>
      <c r="W16" s="4">
        <v>2.758369E9</v>
      </c>
      <c r="X16" s="4">
        <v>2.701282E9</v>
      </c>
      <c r="Y16" s="4">
        <v>2.654936E9</v>
      </c>
      <c r="Z16" s="4">
        <v>2.574816E9</v>
      </c>
      <c r="AA16" s="4">
        <v>2.487292E9</v>
      </c>
      <c r="AB16" s="4">
        <v>2.434456E9</v>
      </c>
      <c r="AC16" s="4">
        <v>2.388463E9</v>
      </c>
      <c r="AD16" s="4">
        <v>2.349119E9</v>
      </c>
      <c r="AE16" s="4">
        <v>2.278081E9</v>
      </c>
      <c r="AF16" s="4">
        <v>2.264062E9</v>
      </c>
      <c r="AG16" s="4">
        <v>2.237068E9</v>
      </c>
      <c r="AH16" s="4">
        <v>2.195857E9</v>
      </c>
      <c r="AI16" s="4">
        <v>2.135436E9</v>
      </c>
      <c r="AJ16" s="4">
        <v>2.116075E9</v>
      </c>
      <c r="AK16" s="4">
        <v>2.120572E9</v>
      </c>
      <c r="AL16" s="4">
        <v>2.106963E9</v>
      </c>
      <c r="AM16" s="4">
        <v>2.079832E9</v>
      </c>
      <c r="AN16" s="4">
        <v>2.080305E9</v>
      </c>
      <c r="AO16" s="4">
        <v>2.28741E9</v>
      </c>
      <c r="AP16" s="4">
        <v>2.244651E9</v>
      </c>
      <c r="AQ16" s="4">
        <v>2.177264E9</v>
      </c>
      <c r="AR16" s="4">
        <v>2.088665E9</v>
      </c>
      <c r="AS16" s="4">
        <v>2.047434E9</v>
      </c>
      <c r="AT16" s="4">
        <v>1.972205E9</v>
      </c>
      <c r="AU16" s="4">
        <v>1.878172E9</v>
      </c>
      <c r="AV16" s="4">
        <v>1.79496E9</v>
      </c>
      <c r="AW16" s="4">
        <v>1.716797E9</v>
      </c>
      <c r="AX16" s="4">
        <v>1.622991E9</v>
      </c>
      <c r="AY16" s="4">
        <v>1.562596E9</v>
      </c>
      <c r="AZ16" s="4">
        <v>1.524575E9</v>
      </c>
      <c r="BA16" s="4">
        <v>1.4147E9</v>
      </c>
      <c r="BB16" s="4">
        <v>1.37763E9</v>
      </c>
      <c r="BC16" s="4">
        <v>1.360868E9</v>
      </c>
      <c r="BD16" s="4">
        <v>1.328386E9</v>
      </c>
      <c r="BE16" s="4">
        <v>1.305858E9</v>
      </c>
      <c r="BF16" s="4">
        <v>1.273452E9</v>
      </c>
      <c r="BG16" s="4">
        <v>1.280835E9</v>
      </c>
      <c r="BH16" s="4">
        <v>1.26896E9</v>
      </c>
      <c r="BI16" s="4">
        <v>1.288848E9</v>
      </c>
      <c r="BJ16" s="4">
        <v>1.266722E9</v>
      </c>
      <c r="BK16" s="4">
        <v>1.25057E9</v>
      </c>
      <c r="BL16" s="4">
        <v>1.274245E9</v>
      </c>
      <c r="BM16" s="4">
        <v>1.212198E9</v>
      </c>
      <c r="BN16" s="4">
        <v>1.236874E9</v>
      </c>
      <c r="BO16" s="4">
        <v>1.24689E9</v>
      </c>
      <c r="BP16" s="4">
        <v>1.241219E9</v>
      </c>
      <c r="BQ16" s="4">
        <v>1.212386E9</v>
      </c>
      <c r="BR16" s="4">
        <v>1.192172E9</v>
      </c>
      <c r="BS16" s="4">
        <v>1.155281E9</v>
      </c>
      <c r="BT16" s="4">
        <v>1.121697E9</v>
      </c>
      <c r="BU16" s="4">
        <v>1.091997E9</v>
      </c>
      <c r="BV16" s="4">
        <v>1.080838E9</v>
      </c>
      <c r="BW16" s="4">
        <v>1.076627E9</v>
      </c>
      <c r="BX16" s="4">
        <v>1.039046E9</v>
      </c>
      <c r="BY16" s="4">
        <v>1.017647E9</v>
      </c>
      <c r="BZ16" s="4">
        <v>9.89224E8</v>
      </c>
      <c r="CA16" s="4">
        <v>9.79487E8</v>
      </c>
      <c r="CB16" s="4">
        <v>9.86463E8</v>
      </c>
      <c r="CC16" s="4">
        <v>9.88111E8</v>
      </c>
      <c r="CD16" s="4">
        <v>9.93822E8</v>
      </c>
      <c r="CE16" s="4">
        <v>1.000265E9</v>
      </c>
      <c r="CF16" s="4">
        <v>9.99273E8</v>
      </c>
      <c r="CG16" s="4">
        <v>9.91477E8</v>
      </c>
      <c r="CH16" s="4">
        <v>9.88915E8</v>
      </c>
      <c r="CI16" s="4">
        <v>9.9779E8</v>
      </c>
      <c r="CJ16" s="4">
        <v>1.003224E9</v>
      </c>
      <c r="CK16" s="4">
        <v>9.91039E8</v>
      </c>
      <c r="CL16" s="4">
        <v>9.73094E8</v>
      </c>
      <c r="CM16" s="4">
        <v>4.94943E8</v>
      </c>
      <c r="CN16" s="4">
        <v>4.4967E8</v>
      </c>
      <c r="CO16" s="4">
        <v>3.722E8</v>
      </c>
      <c r="CP16" s="4">
        <v>3.46473E8</v>
      </c>
      <c r="CQ16" s="4">
        <v>3.249E8</v>
      </c>
      <c r="CR16" s="4">
        <v>3.036E8</v>
      </c>
      <c r="CS16" s="4">
        <v>3.166E8</v>
      </c>
      <c r="CT16" s="4">
        <v>3.26408E8</v>
      </c>
      <c r="CU16" s="4">
        <v>2.89E8</v>
      </c>
      <c r="CV16" s="4">
        <v>2.705E8</v>
      </c>
      <c r="CW16" s="4">
        <v>2.533E8</v>
      </c>
      <c r="CX16" s="4">
        <v>2.41445E8</v>
      </c>
      <c r="CY16" s="4">
        <v>2.381E8</v>
      </c>
      <c r="CZ16" s="4">
        <v>2.209E8</v>
      </c>
      <c r="DA16" s="4">
        <v>1.938E8</v>
      </c>
      <c r="DB16" s="4">
        <v>2.08536E8</v>
      </c>
      <c r="DC16" s="4">
        <v>1.794E8</v>
      </c>
      <c r="DD16" s="4">
        <v>1.626E8</v>
      </c>
      <c r="DE16" s="4">
        <v>1.57E8</v>
      </c>
      <c r="DF16" s="4">
        <v>1.58587E8</v>
      </c>
      <c r="DG16" s="4">
        <v>1.54E8</v>
      </c>
      <c r="DH16" s="4">
        <v>1.397E8</v>
      </c>
      <c r="DI16" s="4">
        <v>1.296E8</v>
      </c>
      <c r="DJ16" s="4">
        <v>1.25252E8</v>
      </c>
      <c r="DK16" s="4">
        <v>1.078E8</v>
      </c>
      <c r="DL16" s="4">
        <v>9.32E7</v>
      </c>
      <c r="DM16" s="4">
        <v>8.16E7</v>
      </c>
      <c r="DN16" s="4">
        <v>7.75E7</v>
      </c>
      <c r="DO16" s="4">
        <v>7.19E7</v>
      </c>
      <c r="DP16" s="4">
        <v>6.64E7</v>
      </c>
      <c r="DQ16" s="4">
        <v>5.85E7</v>
      </c>
      <c r="DR16" s="4">
        <v>5.61E7</v>
      </c>
      <c r="DS16" s="4">
        <v>5.17E7</v>
      </c>
      <c r="DT16" s="4">
        <v>4.68E7</v>
      </c>
      <c r="DU16" s="4">
        <v>4.34E7</v>
      </c>
      <c r="DV16" s="4">
        <v>4.04E7</v>
      </c>
      <c r="DW16" s="4">
        <v>3.8E7</v>
      </c>
      <c r="DX16" s="4">
        <v>3.63E7</v>
      </c>
      <c r="DY16" s="4">
        <v>3.52E7</v>
      </c>
      <c r="DZ16" s="4">
        <v>3.47E7</v>
      </c>
      <c r="EA16" s="4">
        <v>3.46E7</v>
      </c>
      <c r="EB16" s="4">
        <v>3.35E7</v>
      </c>
      <c r="EC16" s="4">
        <v>3.32E7</v>
      </c>
      <c r="ED16" s="4">
        <v>3.29E7</v>
      </c>
      <c r="EE16" s="4">
        <v>3.24E7</v>
      </c>
      <c r="EF16" s="4">
        <v>2.82E7</v>
      </c>
      <c r="EG16" s="4">
        <v>2.26E7</v>
      </c>
      <c r="EH16" s="4">
        <v>2.54E7</v>
      </c>
      <c r="EI16" s="4">
        <v>2.91E7</v>
      </c>
      <c r="EJ16" s="4">
        <v>2.35E7</v>
      </c>
    </row>
    <row r="17">
      <c r="A17" s="1" t="s">
        <v>16</v>
      </c>
      <c r="B17" s="4">
        <v>1.6379301E10</v>
      </c>
      <c r="C17" s="4">
        <v>1.6146657E10</v>
      </c>
      <c r="D17" s="4">
        <v>1.5906323E10</v>
      </c>
      <c r="E17" s="4">
        <v>1.5396824E10</v>
      </c>
      <c r="F17" s="4">
        <v>1.4967412E10</v>
      </c>
      <c r="G17" s="4">
        <v>1.463418E10</v>
      </c>
      <c r="H17" s="4">
        <v>1.4439057E10</v>
      </c>
      <c r="I17" s="4">
        <v>1.4160537E10</v>
      </c>
      <c r="J17" s="4">
        <v>1.3909274E10</v>
      </c>
      <c r="K17" s="4">
        <v>1.3614144E10</v>
      </c>
      <c r="L17" s="4">
        <v>1.3373327E10</v>
      </c>
      <c r="M17" s="4">
        <v>1.3045157E10</v>
      </c>
      <c r="N17" s="4">
        <v>1.2675787E10</v>
      </c>
      <c r="O17" s="4">
        <v>1.2280946E10</v>
      </c>
      <c r="P17" s="4">
        <v>1.2074542E10</v>
      </c>
      <c r="Q17" s="4">
        <v>1.1770451E10</v>
      </c>
      <c r="R17" s="4">
        <v>1.1425752E10</v>
      </c>
      <c r="S17" s="4">
        <v>1.1148751E10</v>
      </c>
      <c r="T17" s="4">
        <v>5.518977E9</v>
      </c>
      <c r="X17" s="4">
        <v>5.175292E9</v>
      </c>
      <c r="AB17" s="4">
        <v>4.595002E9</v>
      </c>
      <c r="AF17" s="4">
        <v>4.170486E9</v>
      </c>
      <c r="AJ17" s="4">
        <v>3.753557E9</v>
      </c>
      <c r="AN17" s="4">
        <v>3.452916E9</v>
      </c>
      <c r="AR17" s="4">
        <v>3.226898E9</v>
      </c>
      <c r="AV17" s="4">
        <v>2.680985E9</v>
      </c>
      <c r="AZ17" s="4">
        <v>2.177269E9</v>
      </c>
      <c r="BD17" s="4">
        <v>1.792373E9</v>
      </c>
      <c r="BH17" s="4">
        <v>1.561008E9</v>
      </c>
      <c r="BW17" s="4">
        <v>1.905578E9</v>
      </c>
      <c r="BX17" s="4">
        <v>1.833447E9</v>
      </c>
      <c r="BY17" s="4">
        <v>1.775496E9</v>
      </c>
      <c r="CA17" s="4">
        <v>1.667438E9</v>
      </c>
      <c r="CB17" s="4">
        <v>1.639164E9</v>
      </c>
      <c r="CC17" s="4">
        <v>1.606447E9</v>
      </c>
      <c r="CE17" s="4">
        <v>1.581427E9</v>
      </c>
      <c r="CF17" s="4">
        <v>1.547346E9</v>
      </c>
      <c r="CG17" s="4">
        <v>1.507414E9</v>
      </c>
      <c r="CH17" s="4">
        <v>1.473693E9</v>
      </c>
      <c r="CI17" s="4">
        <v>1.454268E9</v>
      </c>
      <c r="CJ17" s="4">
        <v>1.429373E9</v>
      </c>
      <c r="CK17" s="4">
        <v>1.386885E9</v>
      </c>
      <c r="CL17" s="4">
        <v>1.339554E9</v>
      </c>
      <c r="CM17" s="4">
        <v>8.01837E8</v>
      </c>
      <c r="CN17" s="4">
        <v>7.36444E8</v>
      </c>
      <c r="CO17" s="4">
        <v>6.41158E8</v>
      </c>
      <c r="CP17" s="4">
        <v>5.97537E8</v>
      </c>
      <c r="CQ17" s="4">
        <v>5.603E8</v>
      </c>
      <c r="CR17" s="4">
        <v>5.236E8</v>
      </c>
      <c r="CS17" s="4">
        <v>5.33E8</v>
      </c>
      <c r="CT17" s="4">
        <v>5.28238E8</v>
      </c>
      <c r="CU17" s="4">
        <v>4.772E8</v>
      </c>
      <c r="CV17" s="4">
        <v>4.454E8</v>
      </c>
      <c r="CW17" s="4">
        <v>4.16E8</v>
      </c>
      <c r="CX17" s="4">
        <v>3.91911E8</v>
      </c>
      <c r="CY17" s="4">
        <v>3.785E8</v>
      </c>
      <c r="CZ17" s="4">
        <v>3.518E8</v>
      </c>
      <c r="DA17" s="4">
        <v>3.157E8</v>
      </c>
      <c r="DB17" s="4">
        <v>3.21917E8</v>
      </c>
      <c r="DC17" s="4">
        <v>2.851E8</v>
      </c>
      <c r="DD17" s="4">
        <v>2.607E8</v>
      </c>
      <c r="DE17" s="4">
        <v>2.478E8</v>
      </c>
      <c r="DF17" s="4">
        <v>2.42628E8</v>
      </c>
      <c r="DG17" s="4">
        <v>2.315E8</v>
      </c>
      <c r="DH17" s="4">
        <v>2.123E8</v>
      </c>
      <c r="DI17" s="4">
        <v>1.967E8</v>
      </c>
      <c r="DJ17" s="4">
        <v>1.8736E8</v>
      </c>
      <c r="DK17" s="4">
        <v>1.653E8</v>
      </c>
      <c r="DL17" s="4">
        <v>1.478E8</v>
      </c>
      <c r="DM17" s="4">
        <v>1.325E8</v>
      </c>
      <c r="DN17" s="4">
        <v>1.248E8</v>
      </c>
      <c r="DO17" s="4">
        <v>1.16E8</v>
      </c>
      <c r="DP17" s="4">
        <v>1.083E8</v>
      </c>
      <c r="DQ17" s="4">
        <v>9.83E7</v>
      </c>
      <c r="DR17" s="4">
        <v>9.35E7</v>
      </c>
      <c r="DS17" s="4">
        <v>9.24E7</v>
      </c>
      <c r="DT17" s="4">
        <v>8.63E7</v>
      </c>
      <c r="DU17" s="4">
        <v>8.1E7</v>
      </c>
      <c r="DV17" s="4">
        <v>7.66E7</v>
      </c>
      <c r="DW17" s="4">
        <v>7.41E7</v>
      </c>
      <c r="DX17" s="4">
        <v>7.28E7</v>
      </c>
      <c r="DY17" s="4">
        <v>7.01E7</v>
      </c>
      <c r="DZ17" s="4">
        <v>6.81E7</v>
      </c>
      <c r="EA17" s="4">
        <v>6.99E7</v>
      </c>
      <c r="EB17" s="4">
        <v>6.72E7</v>
      </c>
      <c r="EC17" s="4">
        <v>6.53E7</v>
      </c>
      <c r="ED17" s="4">
        <v>6.35E7</v>
      </c>
      <c r="EE17" s="4">
        <v>6.58E7</v>
      </c>
      <c r="EF17" s="4">
        <v>6.01E7</v>
      </c>
      <c r="EG17" s="4">
        <v>5.2E7</v>
      </c>
      <c r="EH17" s="4">
        <v>4.99E7</v>
      </c>
      <c r="EI17" s="4">
        <v>4.94E7</v>
      </c>
      <c r="EJ17" s="4">
        <v>3.86E7</v>
      </c>
    </row>
    <row r="18">
      <c r="A18" s="1" t="s">
        <v>17</v>
      </c>
      <c r="D18" s="1">
        <v>0.0</v>
      </c>
      <c r="H18" s="1">
        <v>0.0</v>
      </c>
      <c r="L18" s="1">
        <v>0.0</v>
      </c>
      <c r="P18" s="1">
        <v>0.0</v>
      </c>
      <c r="T18" s="1">
        <v>0.0</v>
      </c>
      <c r="X18" s="1">
        <v>0.0</v>
      </c>
      <c r="AB18" s="1">
        <v>0.0</v>
      </c>
      <c r="AF18" s="1">
        <v>0.0</v>
      </c>
      <c r="AJ18" s="1">
        <v>0.0</v>
      </c>
      <c r="AN18" s="1">
        <v>0.0</v>
      </c>
      <c r="AR18" s="1">
        <v>0.0</v>
      </c>
      <c r="AV18" s="1">
        <v>0.0</v>
      </c>
      <c r="AZ18" s="1">
        <v>0.0</v>
      </c>
      <c r="BD18" s="1">
        <v>0.0</v>
      </c>
      <c r="BH18" s="1">
        <v>0.0</v>
      </c>
      <c r="CH18" s="1">
        <v>0.0</v>
      </c>
      <c r="CL18" s="1">
        <v>0.0</v>
      </c>
    </row>
    <row r="19">
      <c r="A19" s="1" t="s">
        <v>18</v>
      </c>
      <c r="D19" s="4">
        <v>3.29381E8</v>
      </c>
      <c r="H19" s="4">
        <v>3.23487E8</v>
      </c>
      <c r="L19" s="4">
        <v>3.17797E8</v>
      </c>
      <c r="P19" s="4">
        <v>3.06864E8</v>
      </c>
      <c r="T19" s="4">
        <v>2.99725E8</v>
      </c>
      <c r="X19" s="4">
        <v>2.9163E8</v>
      </c>
      <c r="AB19" s="4">
        <v>2.7338E8</v>
      </c>
      <c r="AF19" s="4">
        <v>2.55487E8</v>
      </c>
      <c r="AJ19" s="4">
        <v>2.27704E8</v>
      </c>
      <c r="AN19" s="4">
        <v>2.12014E8</v>
      </c>
      <c r="AR19" s="4">
        <v>2.57695E8</v>
      </c>
      <c r="AV19" s="4">
        <v>2.04562E8</v>
      </c>
      <c r="AZ19" s="4">
        <v>1.74439E8</v>
      </c>
      <c r="BD19" s="4">
        <v>1.37903E8</v>
      </c>
      <c r="BH19" s="4">
        <v>1.37779E8</v>
      </c>
      <c r="CH19" s="4">
        <v>1.4449E8</v>
      </c>
      <c r="CL19" s="4">
        <v>1.1941E8</v>
      </c>
    </row>
    <row r="20">
      <c r="A20" s="1" t="s">
        <v>19</v>
      </c>
      <c r="D20" s="4">
        <v>1.56144E9</v>
      </c>
      <c r="H20" s="4">
        <v>1.446126E9</v>
      </c>
      <c r="L20" s="4">
        <v>1.329309E9</v>
      </c>
      <c r="P20" s="4">
        <v>1.290673E9</v>
      </c>
      <c r="T20" s="4">
        <v>1.219852E9</v>
      </c>
      <c r="X20" s="4">
        <v>1.116872E9</v>
      </c>
      <c r="AB20" s="4">
        <v>1.013227E9</v>
      </c>
      <c r="AF20" s="4">
        <v>8.34884E8</v>
      </c>
      <c r="AJ20" s="4">
        <v>8.00346E8</v>
      </c>
      <c r="AN20" s="4">
        <v>7.65555E8</v>
      </c>
      <c r="AR20" s="4">
        <v>7.73835E8</v>
      </c>
      <c r="AV20" s="4">
        <v>6.22849E8</v>
      </c>
      <c r="AZ20" s="4">
        <v>5.75305E8</v>
      </c>
      <c r="BD20" s="4">
        <v>5.20867E8</v>
      </c>
      <c r="BH20" s="4">
        <v>5.18933E8</v>
      </c>
      <c r="CH20" s="4">
        <v>3.31795E8</v>
      </c>
      <c r="CL20" s="4">
        <v>2.86476E8</v>
      </c>
    </row>
    <row r="21">
      <c r="A21" s="1" t="s">
        <v>20</v>
      </c>
      <c r="D21" s="4">
        <v>5.714456E9</v>
      </c>
      <c r="H21" s="4">
        <v>4.984534E9</v>
      </c>
      <c r="L21" s="4">
        <v>4.487665E9</v>
      </c>
      <c r="P21" s="4">
        <v>3.782016E9</v>
      </c>
      <c r="T21" s="4">
        <v>3.298594E9</v>
      </c>
      <c r="X21" s="4">
        <v>3.186406E9</v>
      </c>
      <c r="AB21" s="4">
        <v>2.797144E9</v>
      </c>
      <c r="AF21" s="4">
        <v>2.526843E9</v>
      </c>
      <c r="AJ21" s="4">
        <v>2.29559E9</v>
      </c>
      <c r="AN21" s="4">
        <v>2.078893E9</v>
      </c>
      <c r="AR21" s="4">
        <v>1.828573E9</v>
      </c>
      <c r="AV21" s="4">
        <v>1.500268E9</v>
      </c>
      <c r="AZ21" s="4">
        <v>1.235756E9</v>
      </c>
      <c r="BD21" s="4">
        <v>9.92423E8</v>
      </c>
      <c r="BH21" s="4">
        <v>7.81425E8</v>
      </c>
      <c r="CH21" s="4">
        <v>9.88074E8</v>
      </c>
      <c r="CL21" s="4">
        <v>8.23234E8</v>
      </c>
    </row>
    <row r="22">
      <c r="A22" s="1" t="s">
        <v>21</v>
      </c>
      <c r="B22" s="4">
        <v>1.6379301E10</v>
      </c>
      <c r="C22" s="4">
        <v>1.6146657E10</v>
      </c>
      <c r="D22" s="4">
        <v>1.5906323E10</v>
      </c>
      <c r="E22" s="4">
        <v>1.5396824E10</v>
      </c>
      <c r="F22" s="4">
        <v>1.4967412E10</v>
      </c>
      <c r="G22" s="4">
        <v>1.463418E10</v>
      </c>
      <c r="H22" s="4">
        <v>1.4439057E10</v>
      </c>
      <c r="I22" s="4">
        <v>1.4160537E10</v>
      </c>
      <c r="J22" s="4">
        <v>1.3909274E10</v>
      </c>
      <c r="K22" s="4">
        <v>1.3614144E10</v>
      </c>
      <c r="L22" s="4">
        <v>1.3373327E10</v>
      </c>
      <c r="M22" s="4">
        <v>1.3045157E10</v>
      </c>
      <c r="N22" s="4">
        <v>1.2675787E10</v>
      </c>
      <c r="O22" s="4">
        <v>1.2280946E10</v>
      </c>
      <c r="P22" s="4">
        <v>1.2074542E10</v>
      </c>
      <c r="Q22" s="4">
        <v>1.1770451E10</v>
      </c>
      <c r="R22" s="4">
        <v>1.1425752E10</v>
      </c>
      <c r="S22" s="4">
        <v>1.1148751E10</v>
      </c>
    </row>
    <row r="23">
      <c r="A23" s="1" t="s">
        <v>22</v>
      </c>
      <c r="D23" s="4">
        <v>3.13615E8</v>
      </c>
      <c r="H23" s="4">
        <v>1.31073E8</v>
      </c>
      <c r="L23" s="4">
        <v>1.83593E8</v>
      </c>
      <c r="P23" s="4">
        <v>6.2183E7</v>
      </c>
      <c r="T23" s="4">
        <v>1.17275E8</v>
      </c>
      <c r="X23" s="4">
        <v>7.249E7</v>
      </c>
      <c r="AB23" s="4">
        <v>7.254E7</v>
      </c>
      <c r="AF23" s="4">
        <v>1.50275E8</v>
      </c>
      <c r="AJ23" s="4">
        <v>6.836E7</v>
      </c>
      <c r="AN23" s="4">
        <v>7.0332E7</v>
      </c>
      <c r="AR23" s="4">
        <v>8.7444E7</v>
      </c>
      <c r="AV23" s="4">
        <v>1.39454E8</v>
      </c>
      <c r="AZ23" s="4">
        <v>1.7933E7</v>
      </c>
      <c r="BD23" s="4">
        <v>1.0406E7</v>
      </c>
      <c r="BH23" s="4">
        <v>5025000.0</v>
      </c>
      <c r="CH23" s="4">
        <v>9334000.0</v>
      </c>
      <c r="CL23" s="4">
        <v>1.10434E8</v>
      </c>
    </row>
    <row r="24">
      <c r="A24" s="1" t="s">
        <v>23</v>
      </c>
      <c r="D24" s="4">
        <v>1.011788E9</v>
      </c>
      <c r="H24" s="4">
        <v>8.89782E8</v>
      </c>
      <c r="L24" s="4">
        <v>7.82858E8</v>
      </c>
      <c r="P24" s="4">
        <v>6.56234E8</v>
      </c>
      <c r="T24" s="4">
        <v>5.83531E8</v>
      </c>
      <c r="X24" s="4">
        <v>5.07894E8</v>
      </c>
      <c r="AB24" s="4">
        <v>4.38711E8</v>
      </c>
      <c r="AF24" s="4">
        <v>4.02997E8</v>
      </c>
      <c r="AJ24" s="4">
        <v>3.61557E8</v>
      </c>
      <c r="AN24" s="4">
        <v>3.26122E8</v>
      </c>
      <c r="AR24" s="4">
        <v>2.79351E8</v>
      </c>
      <c r="AV24" s="4">
        <v>2.13852E8</v>
      </c>
      <c r="AZ24" s="4">
        <v>1.73836E8</v>
      </c>
      <c r="BD24" s="4">
        <v>1.30774E8</v>
      </c>
      <c r="BH24" s="4">
        <v>1.17846E8</v>
      </c>
    </row>
    <row r="25">
      <c r="A25" s="1" t="s">
        <v>24</v>
      </c>
      <c r="D25" s="4">
        <v>-3.909423E9</v>
      </c>
      <c r="H25" s="4">
        <v>-3.591647E9</v>
      </c>
      <c r="L25" s="4">
        <v>-3.364333E9</v>
      </c>
      <c r="P25" s="4">
        <v>-2.819611E9</v>
      </c>
      <c r="T25" s="4">
        <v>-2.548171E9</v>
      </c>
      <c r="X25" s="4">
        <v>-2.47401E9</v>
      </c>
      <c r="AB25" s="4">
        <v>-2.160546E9</v>
      </c>
      <c r="AF25" s="4">
        <v>-1.906424E9</v>
      </c>
      <c r="AJ25" s="4">
        <v>-1.637482E9</v>
      </c>
      <c r="AN25" s="4">
        <v>-1.372611E9</v>
      </c>
      <c r="AR25" s="4">
        <v>-1.138233E9</v>
      </c>
      <c r="AV25" s="4">
        <v>-8.86025E8</v>
      </c>
      <c r="AZ25" s="4">
        <v>-6.52694E8</v>
      </c>
      <c r="BD25" s="4">
        <v>-4.63987E8</v>
      </c>
      <c r="BH25" s="4">
        <v>-2.92048E8</v>
      </c>
      <c r="BW25" s="4">
        <v>-8.28951E8</v>
      </c>
      <c r="BX25" s="4">
        <v>-7.94401E8</v>
      </c>
      <c r="BY25" s="4">
        <v>-7.57849E8</v>
      </c>
      <c r="CA25" s="4">
        <v>-6.87951E8</v>
      </c>
      <c r="CB25" s="4">
        <v>-6.52701E8</v>
      </c>
      <c r="CC25" s="4">
        <v>-6.18336E8</v>
      </c>
      <c r="CE25" s="4">
        <v>-5.81162E8</v>
      </c>
      <c r="CF25" s="4">
        <v>-5.48073E8</v>
      </c>
      <c r="CG25" s="4">
        <v>-5.15937E8</v>
      </c>
      <c r="CH25" s="4">
        <v>-4.84778E8</v>
      </c>
      <c r="CI25" s="4">
        <v>-4.56478E8</v>
      </c>
      <c r="CJ25" s="4">
        <v>-4.26149E8</v>
      </c>
      <c r="CK25" s="4">
        <v>-3.95846E8</v>
      </c>
      <c r="CL25" s="4">
        <v>-3.6646E8</v>
      </c>
      <c r="CM25" s="4">
        <v>-3.06894E8</v>
      </c>
      <c r="CN25" s="4">
        <v>-2.86774E8</v>
      </c>
      <c r="CO25" s="4">
        <v>-2.68958E8</v>
      </c>
      <c r="CP25" s="4">
        <v>-2.51064E8</v>
      </c>
      <c r="CQ25" s="4">
        <v>-2.354E8</v>
      </c>
      <c r="CR25" s="4">
        <v>-2.2E8</v>
      </c>
      <c r="CS25" s="4">
        <v>-2.164E8</v>
      </c>
      <c r="CT25" s="4">
        <v>-2.0183E8</v>
      </c>
      <c r="CU25" s="4">
        <v>-1.882E8</v>
      </c>
      <c r="CV25" s="4">
        <v>-1.749E8</v>
      </c>
      <c r="CW25" s="4">
        <v>-1.627E8</v>
      </c>
      <c r="CX25" s="4">
        <v>-1.50466E8</v>
      </c>
      <c r="CY25" s="4">
        <v>-1.404E8</v>
      </c>
      <c r="CZ25" s="4">
        <v>-1.309E8</v>
      </c>
      <c r="DA25" s="4">
        <v>-1.219E8</v>
      </c>
      <c r="DB25" s="4">
        <v>-1.13381E8</v>
      </c>
      <c r="DC25" s="4">
        <v>-1.057E8</v>
      </c>
      <c r="DD25" s="4">
        <v>-9.81E7</v>
      </c>
      <c r="DE25" s="4">
        <v>-9.08E7</v>
      </c>
      <c r="DF25" s="4">
        <v>-8.4041E7</v>
      </c>
      <c r="DG25" s="4">
        <v>-7.75E7</v>
      </c>
      <c r="DH25" s="4">
        <v>-7.26E7</v>
      </c>
      <c r="DI25" s="4">
        <v>-6.71E7</v>
      </c>
      <c r="DJ25" s="4">
        <v>-6.2108E7</v>
      </c>
      <c r="DK25" s="4">
        <v>-5.75E7</v>
      </c>
      <c r="DL25" s="4">
        <v>-5.46E7</v>
      </c>
      <c r="DM25" s="4">
        <v>-5.09E7</v>
      </c>
      <c r="DN25" s="4">
        <v>-4.73E7</v>
      </c>
      <c r="DO25" s="4">
        <v>-4.41E7</v>
      </c>
      <c r="DP25" s="4">
        <v>-4.19E7</v>
      </c>
      <c r="DQ25" s="4">
        <v>-3.98E7</v>
      </c>
      <c r="DR25" s="4">
        <v>-3.74E7</v>
      </c>
      <c r="DS25" s="4">
        <v>-4.07E7</v>
      </c>
      <c r="DT25" s="4">
        <v>-3.95E7</v>
      </c>
      <c r="DU25" s="4">
        <v>-3.76E7</v>
      </c>
      <c r="DV25" s="4">
        <v>-3.62E7</v>
      </c>
      <c r="DW25" s="4">
        <v>-3.61E7</v>
      </c>
      <c r="DX25" s="4">
        <v>-3.65E7</v>
      </c>
      <c r="DY25" s="4">
        <v>-3.49E7</v>
      </c>
      <c r="DZ25" s="4">
        <v>-3.34E7</v>
      </c>
      <c r="EA25" s="4">
        <v>-3.53E7</v>
      </c>
      <c r="EB25" s="4">
        <v>-3.37E7</v>
      </c>
      <c r="EC25" s="4">
        <v>-3.21E7</v>
      </c>
      <c r="ED25" s="4">
        <v>-3.06E7</v>
      </c>
      <c r="EE25" s="4">
        <v>-3.34E7</v>
      </c>
      <c r="EF25" s="4">
        <v>-3.19E7</v>
      </c>
      <c r="EG25" s="4">
        <v>-2.94E7</v>
      </c>
      <c r="EH25" s="4">
        <v>-2.45E7</v>
      </c>
      <c r="EI25" s="4">
        <v>-2.03E7</v>
      </c>
      <c r="EJ25" s="4">
        <v>-1.51E7</v>
      </c>
    </row>
    <row r="26">
      <c r="A26" s="1" t="s">
        <v>25</v>
      </c>
      <c r="B26" s="4">
        <v>5.538289E9</v>
      </c>
      <c r="C26" s="4">
        <v>5.538289E9</v>
      </c>
      <c r="D26" s="4">
        <v>5.538289E9</v>
      </c>
      <c r="E26" s="4">
        <v>5.538289E9</v>
      </c>
      <c r="F26" s="4">
        <v>5.538289E9</v>
      </c>
      <c r="G26" s="4">
        <v>5.538309E9</v>
      </c>
      <c r="H26" s="4">
        <v>5.538339E9</v>
      </c>
      <c r="I26" s="4">
        <v>5.538369E9</v>
      </c>
      <c r="J26" s="4">
        <v>5.538399E9</v>
      </c>
      <c r="K26" s="4">
        <v>5.538429E9</v>
      </c>
      <c r="L26" s="4">
        <v>5.538459E9</v>
      </c>
      <c r="M26" s="4">
        <v>5.538489E9</v>
      </c>
      <c r="N26" s="4">
        <v>5.53852E9</v>
      </c>
      <c r="O26" s="4">
        <v>5.53855E9</v>
      </c>
      <c r="P26" s="4">
        <v>5.538595E9</v>
      </c>
      <c r="Q26" s="4">
        <v>5.538648E9</v>
      </c>
      <c r="R26" s="4">
        <v>5.5387E9</v>
      </c>
      <c r="S26" s="4">
        <v>5.538753E9</v>
      </c>
      <c r="T26" s="4">
        <v>5.538806E9</v>
      </c>
      <c r="U26" s="4">
        <v>5.538859E9</v>
      </c>
      <c r="V26" s="4">
        <v>5.538911E9</v>
      </c>
      <c r="W26" s="4">
        <v>5.538964E9</v>
      </c>
      <c r="X26" s="4">
        <v>5.539017E9</v>
      </c>
      <c r="Y26" s="4">
        <v>5.53907E9</v>
      </c>
      <c r="Z26" s="4">
        <v>5.539126E9</v>
      </c>
      <c r="AA26" s="4">
        <v>5.539186E9</v>
      </c>
      <c r="AB26" s="4">
        <v>5.539248E9</v>
      </c>
      <c r="AC26" s="4">
        <v>5.539323E9</v>
      </c>
      <c r="AD26" s="4">
        <v>5.539405E9</v>
      </c>
      <c r="AE26" s="4">
        <v>5.539493E9</v>
      </c>
      <c r="AF26" s="4">
        <v>5.539583E9</v>
      </c>
      <c r="AG26" s="4">
        <v>5.539699E9</v>
      </c>
      <c r="AH26" s="4">
        <v>5.53983E9</v>
      </c>
      <c r="AI26" s="4">
        <v>5.540017E9</v>
      </c>
      <c r="AJ26" s="4">
        <v>5.540459E9</v>
      </c>
      <c r="AK26" s="4">
        <v>5.54124E9</v>
      </c>
      <c r="AL26" s="4">
        <v>5.542493E9</v>
      </c>
      <c r="AM26" s="4">
        <v>5.544187E9</v>
      </c>
      <c r="AN26" s="4">
        <v>5.546234E9</v>
      </c>
      <c r="AO26" s="4">
        <v>5.548666E9</v>
      </c>
      <c r="AP26" s="4">
        <v>5.55141E9</v>
      </c>
      <c r="AQ26" s="4">
        <v>5.554588E9</v>
      </c>
      <c r="AR26" s="4">
        <v>5.558132E9</v>
      </c>
      <c r="AS26" s="4">
        <v>5.561996E9</v>
      </c>
      <c r="AT26" s="4">
        <v>5.566088E9</v>
      </c>
      <c r="AU26" s="4">
        <v>5.570455E9</v>
      </c>
      <c r="AV26" s="4">
        <v>5.574543E9</v>
      </c>
      <c r="AW26" s="4">
        <v>5.579322E9</v>
      </c>
      <c r="AX26" s="4">
        <v>5.584362E9</v>
      </c>
      <c r="AY26" s="4">
        <v>5.589878E9</v>
      </c>
      <c r="AZ26" s="4">
        <v>5.595511E9</v>
      </c>
      <c r="BA26" s="4">
        <v>5.601423E9</v>
      </c>
      <c r="BB26" s="4">
        <v>5.607579E9</v>
      </c>
      <c r="BC26" s="4">
        <v>5.614762E9</v>
      </c>
      <c r="BD26" s="4">
        <v>5.622872E9</v>
      </c>
      <c r="BE26" s="4">
        <v>5.631869E9</v>
      </c>
      <c r="BF26" s="4">
        <v>5.641785E9</v>
      </c>
      <c r="BG26" s="4">
        <v>5.653014E9</v>
      </c>
      <c r="BH26" s="4">
        <v>5.664147E9</v>
      </c>
      <c r="BI26" s="4">
        <v>5.673926E9</v>
      </c>
      <c r="BJ26" s="4">
        <v>5.692878E9</v>
      </c>
      <c r="BK26" s="4">
        <v>5.70402E9</v>
      </c>
      <c r="BL26" s="4">
        <v>5.715487E9</v>
      </c>
    </row>
    <row r="27">
      <c r="A27" s="1" t="s">
        <v>26</v>
      </c>
      <c r="B27" s="4">
        <v>4.338589E9</v>
      </c>
      <c r="C27" s="4">
        <v>4.338589E9</v>
      </c>
      <c r="D27" s="4">
        <v>4.338589E9</v>
      </c>
      <c r="E27" s="4">
        <v>4.338589E9</v>
      </c>
      <c r="F27" s="4">
        <v>4.338589E9</v>
      </c>
      <c r="G27" s="4">
        <v>4.338589E9</v>
      </c>
      <c r="H27" s="4">
        <v>4.338589E9</v>
      </c>
      <c r="I27" s="4">
        <v>4.338589E9</v>
      </c>
      <c r="J27" s="4">
        <v>4.338589E9</v>
      </c>
      <c r="K27" s="4">
        <v>4.338589E9</v>
      </c>
      <c r="L27" s="4">
        <v>4.338589E9</v>
      </c>
      <c r="M27" s="4">
        <v>4.338589E9</v>
      </c>
      <c r="N27" s="4">
        <v>4.338589E9</v>
      </c>
      <c r="O27" s="4">
        <v>4.338589E9</v>
      </c>
      <c r="P27" s="4">
        <v>4.338589E9</v>
      </c>
      <c r="Q27" s="4">
        <v>4.338589E9</v>
      </c>
      <c r="R27" s="4">
        <v>4.338589E9</v>
      </c>
      <c r="S27" s="4">
        <v>4.338589E9</v>
      </c>
      <c r="T27" s="4">
        <v>4.338589E9</v>
      </c>
      <c r="U27" s="4">
        <v>4.338589E9</v>
      </c>
      <c r="V27" s="4">
        <v>4.338589E9</v>
      </c>
      <c r="W27" s="4">
        <v>4.338589E9</v>
      </c>
      <c r="X27" s="4">
        <v>4.338589E9</v>
      </c>
      <c r="Y27" s="4">
        <v>4.338589E9</v>
      </c>
      <c r="Z27" s="4">
        <v>4.338589E9</v>
      </c>
      <c r="AA27" s="4">
        <v>4.338589E9</v>
      </c>
      <c r="AB27" s="4">
        <v>4.338589E9</v>
      </c>
      <c r="AC27" s="4">
        <v>4.338589E9</v>
      </c>
      <c r="AD27" s="4">
        <v>4.338589E9</v>
      </c>
      <c r="AE27" s="4">
        <v>4.338589E9</v>
      </c>
      <c r="AF27" s="4">
        <v>4.338589E9</v>
      </c>
      <c r="AG27" s="4">
        <v>4.338589E9</v>
      </c>
      <c r="AH27" s="4">
        <v>4.338589E9</v>
      </c>
      <c r="AI27" s="4">
        <v>4.338589E9</v>
      </c>
      <c r="AJ27" s="4">
        <v>4.338589E9</v>
      </c>
      <c r="AK27" s="4">
        <v>4.338589E9</v>
      </c>
      <c r="AL27" s="4">
        <v>4.338589E9</v>
      </c>
      <c r="AM27" s="4">
        <v>4.338589E9</v>
      </c>
      <c r="AN27" s="4">
        <v>4.338589E9</v>
      </c>
      <c r="AO27" s="4">
        <v>4.338589E9</v>
      </c>
      <c r="AP27" s="4">
        <v>4.338589E9</v>
      </c>
      <c r="AQ27" s="4">
        <v>4.338589E9</v>
      </c>
      <c r="AR27" s="4">
        <v>4.338589E9</v>
      </c>
      <c r="AS27" s="4">
        <v>4.338589E9</v>
      </c>
      <c r="AT27" s="4">
        <v>4.338589E9</v>
      </c>
      <c r="AU27" s="4">
        <v>4.338589E9</v>
      </c>
      <c r="AV27" s="4">
        <v>4.338589E9</v>
      </c>
      <c r="AW27" s="4">
        <v>4.338589E9</v>
      </c>
      <c r="AX27" s="4">
        <v>4.338589E9</v>
      </c>
      <c r="AY27" s="4">
        <v>4.338589E9</v>
      </c>
      <c r="AZ27" s="4">
        <v>4.338589E9</v>
      </c>
      <c r="BA27" s="4">
        <v>4.338589E9</v>
      </c>
      <c r="BB27" s="4">
        <v>4.338589E9</v>
      </c>
      <c r="BC27" s="4">
        <v>4.338589E9</v>
      </c>
      <c r="BD27" s="4">
        <v>4.338589E9</v>
      </c>
      <c r="BE27" s="4">
        <v>4.338589E9</v>
      </c>
      <c r="BF27" s="4">
        <v>4.338589E9</v>
      </c>
      <c r="BG27" s="4">
        <v>4.338589E9</v>
      </c>
      <c r="BH27" s="4">
        <v>4.338589E9</v>
      </c>
      <c r="BI27" s="4">
        <v>4.337152E9</v>
      </c>
      <c r="BJ27" s="4">
        <v>4.34493E9</v>
      </c>
      <c r="BK27" s="4">
        <v>4.34493E9</v>
      </c>
      <c r="BL27" s="4">
        <v>4.34493E9</v>
      </c>
    </row>
    <row r="28">
      <c r="A28" s="1" t="s">
        <v>27</v>
      </c>
      <c r="B28" s="4">
        <v>1.1997E9</v>
      </c>
      <c r="C28" s="4">
        <v>1.1997E9</v>
      </c>
      <c r="D28" s="4">
        <v>1.1997E9</v>
      </c>
      <c r="E28" s="4">
        <v>1.1997E9</v>
      </c>
      <c r="F28" s="4">
        <v>1.1997E9</v>
      </c>
      <c r="G28" s="4">
        <v>1.19972E9</v>
      </c>
      <c r="H28" s="4">
        <v>1.19975E9</v>
      </c>
      <c r="I28" s="4">
        <v>1.19978E9</v>
      </c>
      <c r="J28" s="4">
        <v>1.19981E9</v>
      </c>
      <c r="K28" s="4">
        <v>1.19984E9</v>
      </c>
      <c r="L28" s="4">
        <v>1.19987E9</v>
      </c>
      <c r="M28" s="4">
        <v>1.1999E9</v>
      </c>
      <c r="N28" s="4">
        <v>1.199931E9</v>
      </c>
      <c r="O28" s="4">
        <v>1.199961E9</v>
      </c>
      <c r="P28" s="4">
        <v>1.200006E9</v>
      </c>
      <c r="Q28" s="4">
        <v>1.200059E9</v>
      </c>
      <c r="R28" s="4">
        <v>1.200111E9</v>
      </c>
      <c r="S28" s="4">
        <v>1.200164E9</v>
      </c>
      <c r="T28" s="4">
        <v>1.200217E9</v>
      </c>
      <c r="U28" s="4">
        <v>1.20027E9</v>
      </c>
      <c r="V28" s="4">
        <v>1.200322E9</v>
      </c>
      <c r="W28" s="4">
        <v>1.200375E9</v>
      </c>
      <c r="X28" s="4">
        <v>1.200428E9</v>
      </c>
      <c r="Y28" s="4">
        <v>1.200481E9</v>
      </c>
      <c r="Z28" s="4">
        <v>1.200537E9</v>
      </c>
      <c r="AA28" s="4">
        <v>1.200597E9</v>
      </c>
      <c r="AB28" s="4">
        <v>1.200659E9</v>
      </c>
      <c r="AC28" s="4">
        <v>1.200734E9</v>
      </c>
      <c r="AD28" s="4">
        <v>1.200816E9</v>
      </c>
      <c r="AE28" s="4">
        <v>1.200904E9</v>
      </c>
      <c r="AF28" s="4">
        <v>1.200994E9</v>
      </c>
      <c r="AG28" s="4">
        <v>1.20111E9</v>
      </c>
      <c r="AH28" s="4">
        <v>1.201241E9</v>
      </c>
      <c r="AI28" s="4">
        <v>1.201428E9</v>
      </c>
      <c r="AJ28" s="4">
        <v>1.20187E9</v>
      </c>
      <c r="AK28" s="4">
        <v>1.202651E9</v>
      </c>
      <c r="AL28" s="4">
        <v>1.203904E9</v>
      </c>
      <c r="AM28" s="4">
        <v>1.205598E9</v>
      </c>
      <c r="AN28" s="4">
        <v>1.207645E9</v>
      </c>
      <c r="AO28" s="4">
        <v>1.210077E9</v>
      </c>
      <c r="AP28" s="4">
        <v>1.212821E9</v>
      </c>
      <c r="AQ28" s="4">
        <v>1.215999E9</v>
      </c>
      <c r="AR28" s="4">
        <v>1.219543E9</v>
      </c>
      <c r="AS28" s="4">
        <v>1.223407E9</v>
      </c>
      <c r="AT28" s="4">
        <v>1.227499E9</v>
      </c>
      <c r="AU28" s="4">
        <v>1.231866E9</v>
      </c>
      <c r="AV28" s="4">
        <v>1.235954E9</v>
      </c>
      <c r="AW28" s="4">
        <v>1.240733E9</v>
      </c>
      <c r="AX28" s="4">
        <v>1.245773E9</v>
      </c>
      <c r="AY28" s="4">
        <v>1.251289E9</v>
      </c>
      <c r="AZ28" s="4">
        <v>1.256922E9</v>
      </c>
      <c r="BA28" s="4">
        <v>1.262834E9</v>
      </c>
      <c r="BB28" s="4">
        <v>1.26899E9</v>
      </c>
      <c r="BC28" s="4">
        <v>1.276173E9</v>
      </c>
      <c r="BD28" s="4">
        <v>1.284283E9</v>
      </c>
      <c r="BE28" s="4">
        <v>1.29328E9</v>
      </c>
      <c r="BF28" s="4">
        <v>1.303196E9</v>
      </c>
      <c r="BG28" s="4">
        <v>1.314425E9</v>
      </c>
      <c r="BH28" s="4">
        <v>1.325558E9</v>
      </c>
      <c r="BI28" s="4">
        <v>1.336774E9</v>
      </c>
      <c r="BJ28" s="4">
        <v>1.347948E9</v>
      </c>
      <c r="BK28" s="4">
        <v>1.35909E9</v>
      </c>
      <c r="BL28" s="4">
        <v>1.370557E9</v>
      </c>
    </row>
    <row r="29">
      <c r="A29" s="1" t="s">
        <v>28</v>
      </c>
      <c r="BM29" s="4">
        <v>1.2418E7</v>
      </c>
      <c r="CH29" s="1">
        <v>0.0</v>
      </c>
      <c r="CL29" s="4">
        <v>5.2708E7</v>
      </c>
    </row>
    <row r="30">
      <c r="A30" s="1" t="s">
        <v>29</v>
      </c>
      <c r="BM30" s="4">
        <v>1.2418E7</v>
      </c>
      <c r="CH30" s="1">
        <v>0.0</v>
      </c>
      <c r="CL30" s="4">
        <v>5.2708E7</v>
      </c>
    </row>
    <row r="31">
      <c r="A31" s="1" t="s">
        <v>30</v>
      </c>
      <c r="B31" s="4">
        <v>6.3988E7</v>
      </c>
      <c r="C31" s="4">
        <v>6.3527E7</v>
      </c>
      <c r="D31" s="4">
        <v>5.7746E7</v>
      </c>
      <c r="E31" s="4">
        <v>5.5029E7</v>
      </c>
      <c r="F31" s="4">
        <v>5.0663E7</v>
      </c>
      <c r="G31" s="4">
        <v>4.6949E7</v>
      </c>
      <c r="H31" s="4">
        <v>4.6132E7</v>
      </c>
      <c r="I31" s="4">
        <v>4.4562E7</v>
      </c>
      <c r="J31" s="4">
        <v>4.7417E7</v>
      </c>
      <c r="K31" s="4">
        <v>4.238E7</v>
      </c>
      <c r="L31" s="4">
        <v>3.6619E7</v>
      </c>
      <c r="M31" s="4">
        <v>3.6364E7</v>
      </c>
      <c r="N31" s="4">
        <v>3.5718E7</v>
      </c>
      <c r="O31" s="4">
        <v>3.6334E7</v>
      </c>
      <c r="P31" s="4">
        <v>3.4079E7</v>
      </c>
      <c r="Q31" s="4">
        <v>3.5149E7</v>
      </c>
      <c r="R31" s="4">
        <v>3.3939E7</v>
      </c>
      <c r="S31" s="4">
        <v>3.3011E7</v>
      </c>
      <c r="T31" s="4">
        <v>3.1406E7</v>
      </c>
      <c r="U31" s="4">
        <v>2.9875E7</v>
      </c>
      <c r="V31" s="4">
        <v>2.9938E7</v>
      </c>
      <c r="W31" s="4">
        <v>2.9861E7</v>
      </c>
      <c r="X31" s="4">
        <v>2.876E7</v>
      </c>
      <c r="Y31" s="4">
        <v>2.7416E7</v>
      </c>
      <c r="Z31" s="4">
        <v>2.6891E7</v>
      </c>
      <c r="AA31" s="4">
        <v>2.0928E7</v>
      </c>
      <c r="AB31" s="4">
        <v>2.0823E7</v>
      </c>
      <c r="AC31" s="4">
        <v>2.0778E7</v>
      </c>
      <c r="AD31" s="4">
        <v>2.0795E7</v>
      </c>
      <c r="AE31" s="4">
        <v>2.1464E7</v>
      </c>
      <c r="AF31" s="4">
        <v>2.183E7</v>
      </c>
      <c r="AG31" s="4">
        <v>2.2751E7</v>
      </c>
      <c r="AH31" s="4">
        <v>3.4661E7</v>
      </c>
      <c r="AI31" s="4">
        <v>3.6197E7</v>
      </c>
      <c r="AJ31" s="4">
        <v>3.4961E7</v>
      </c>
      <c r="AK31" s="4">
        <v>3.6428E7</v>
      </c>
      <c r="AL31" s="4">
        <v>3.5707E7</v>
      </c>
      <c r="AM31" s="4">
        <v>3.4519E7</v>
      </c>
      <c r="AN31" s="4">
        <v>3.5378E7</v>
      </c>
      <c r="AO31" s="4">
        <v>3.5596E7</v>
      </c>
      <c r="AP31" s="4">
        <v>3.8826E7</v>
      </c>
      <c r="AQ31" s="4">
        <v>3.7369E7</v>
      </c>
      <c r="AR31" s="4">
        <v>4.3772E7</v>
      </c>
      <c r="AS31" s="4">
        <v>4.6055E7</v>
      </c>
      <c r="AT31" s="4">
        <v>5.0737E7</v>
      </c>
      <c r="AU31" s="4">
        <v>4.7846E7</v>
      </c>
      <c r="AV31" s="4">
        <v>4.3943E7</v>
      </c>
      <c r="AW31" s="4">
        <v>4.6908E7</v>
      </c>
      <c r="AX31" s="4">
        <v>4.8969E7</v>
      </c>
      <c r="AY31" s="4">
        <v>5.5493E7</v>
      </c>
      <c r="AZ31" s="4">
        <v>5.8311E7</v>
      </c>
      <c r="BA31" s="4">
        <v>6.0693E7</v>
      </c>
      <c r="BB31" s="4">
        <v>5.9581E7</v>
      </c>
      <c r="BC31" s="4">
        <v>6.2868E7</v>
      </c>
      <c r="BD31" s="4">
        <v>6.6812E7</v>
      </c>
      <c r="BE31" s="4">
        <v>7.7491E7</v>
      </c>
      <c r="BF31" s="4">
        <v>7.8928E7</v>
      </c>
      <c r="BG31" s="4">
        <v>8.2804E7</v>
      </c>
      <c r="BH31" s="4">
        <v>8.5967E7</v>
      </c>
      <c r="BI31" s="4">
        <v>9.103E7</v>
      </c>
      <c r="BJ31" s="4">
        <v>9.7389E7</v>
      </c>
      <c r="BK31" s="4">
        <v>1.13269E8</v>
      </c>
      <c r="BL31" s="4">
        <v>1.48955E8</v>
      </c>
      <c r="BM31" s="4">
        <v>6.3536E7</v>
      </c>
      <c r="BN31" s="4">
        <v>6.0892E7</v>
      </c>
      <c r="BO31" s="4">
        <v>4.1422E7</v>
      </c>
      <c r="BP31" s="4">
        <v>5.0098E7</v>
      </c>
      <c r="BQ31" s="4">
        <v>4.2326E7</v>
      </c>
      <c r="BR31" s="4">
        <v>3.709E7</v>
      </c>
      <c r="BS31" s="4">
        <v>3.085E7</v>
      </c>
      <c r="BT31" s="4">
        <v>2.0006E7</v>
      </c>
      <c r="BU31" s="4">
        <v>2.9346E7</v>
      </c>
      <c r="BV31" s="4">
        <v>2.9264E7</v>
      </c>
      <c r="BW31" s="4">
        <v>2.9156E7</v>
      </c>
      <c r="BX31" s="4">
        <v>2.9317E7</v>
      </c>
      <c r="BY31" s="4">
        <v>2.6464E7</v>
      </c>
      <c r="BZ31" s="4">
        <v>1.127E7</v>
      </c>
      <c r="CA31" s="4">
        <v>1.1007E7</v>
      </c>
      <c r="CB31" s="4">
        <v>1.161E7</v>
      </c>
      <c r="CC31" s="4">
        <v>1.2465E7</v>
      </c>
      <c r="CD31" s="4">
        <v>1.5423E7</v>
      </c>
      <c r="CE31" s="4">
        <v>2.0506E7</v>
      </c>
      <c r="CF31" s="4">
        <v>2.1851E7</v>
      </c>
      <c r="CG31" s="4">
        <v>8989000.0</v>
      </c>
      <c r="CH31" s="4">
        <v>7423000.0</v>
      </c>
      <c r="CI31" s="4">
        <v>1.24535E8</v>
      </c>
      <c r="CJ31" s="4">
        <v>1.86421E8</v>
      </c>
      <c r="CK31" s="4">
        <v>1.84319E8</v>
      </c>
      <c r="CL31" s="4">
        <v>1.31733E8</v>
      </c>
      <c r="CM31" s="4">
        <v>1.5959E7</v>
      </c>
      <c r="CN31" s="4">
        <v>1.2936E7</v>
      </c>
      <c r="CO31" s="4">
        <v>9025000.0</v>
      </c>
      <c r="CP31" s="4">
        <v>8933000.0</v>
      </c>
      <c r="CT31" s="4">
        <v>6459000.0</v>
      </c>
      <c r="CX31" s="4">
        <v>6684000.0</v>
      </c>
      <c r="DB31" s="4">
        <v>5012000.0</v>
      </c>
      <c r="DF31" s="4">
        <v>5166000.0</v>
      </c>
      <c r="DJ31" s="4">
        <v>5463000.0</v>
      </c>
    </row>
    <row r="32">
      <c r="A32" s="1" t="s">
        <v>31</v>
      </c>
      <c r="B32" s="4">
        <v>2.4097852E10</v>
      </c>
      <c r="C32" s="4">
        <v>2.3868682E10</v>
      </c>
      <c r="D32" s="4">
        <v>2.3541595E10</v>
      </c>
      <c r="E32" s="4">
        <v>2.2913352E10</v>
      </c>
      <c r="F32" s="4">
        <v>2.2050765E10</v>
      </c>
      <c r="G32" s="4">
        <v>2.0994684E10</v>
      </c>
      <c r="H32" s="4">
        <v>2.0065385E10</v>
      </c>
      <c r="I32" s="4">
        <v>1.9735501E10</v>
      </c>
      <c r="J32" s="4">
        <v>1.9350673E10</v>
      </c>
      <c r="K32" s="4">
        <v>1.8986773E10</v>
      </c>
      <c r="L32" s="4">
        <v>1.9201386E10</v>
      </c>
      <c r="M32" s="4">
        <v>1.9167923E10</v>
      </c>
      <c r="N32" s="4">
        <v>1.8491362E10</v>
      </c>
      <c r="O32" s="4">
        <v>1.7638859E10</v>
      </c>
      <c r="P32" s="4">
        <v>1.6122584E10</v>
      </c>
      <c r="Q32" s="4">
        <v>1.5764495E10</v>
      </c>
      <c r="R32" s="4">
        <v>1.5168369E10</v>
      </c>
      <c r="S32" s="4">
        <v>1.4731615E10</v>
      </c>
      <c r="T32" s="4">
        <v>6.786645E9</v>
      </c>
      <c r="U32" s="4">
        <v>6.765133E9</v>
      </c>
      <c r="V32" s="4">
        <v>6.565007E9</v>
      </c>
      <c r="W32" s="4">
        <v>6.256912E9</v>
      </c>
      <c r="X32" s="4">
        <v>6.391137E9</v>
      </c>
      <c r="Y32" s="4">
        <v>6.630601E9</v>
      </c>
      <c r="Z32" s="4">
        <v>6.433729E9</v>
      </c>
      <c r="AA32" s="4">
        <v>6.267474E9</v>
      </c>
      <c r="AB32" s="4">
        <v>6.266004E9</v>
      </c>
      <c r="AC32" s="4">
        <v>6.555224E9</v>
      </c>
      <c r="AD32" s="4">
        <v>6.204009E9</v>
      </c>
      <c r="AE32" s="4">
        <v>5.928001E9</v>
      </c>
      <c r="AF32" s="4">
        <v>5.880009E9</v>
      </c>
      <c r="AG32" s="4">
        <v>5.9447E9</v>
      </c>
      <c r="AH32" s="4">
        <v>5.776261E9</v>
      </c>
      <c r="AI32" s="4">
        <v>5.570692E9</v>
      </c>
      <c r="AJ32" s="4">
        <v>5.514066E9</v>
      </c>
      <c r="AK32" s="4">
        <v>5.533735E9</v>
      </c>
      <c r="AL32" s="4">
        <v>5.729801E9</v>
      </c>
      <c r="AM32" s="4">
        <v>5.769657E9</v>
      </c>
      <c r="AN32" s="4">
        <v>5.465331E9</v>
      </c>
      <c r="AO32" s="4">
        <v>5.50102E9</v>
      </c>
      <c r="AP32" s="4">
        <v>5.468154E9</v>
      </c>
      <c r="AQ32" s="4">
        <v>5.314798E9</v>
      </c>
      <c r="AR32" s="4">
        <v>5.382352E9</v>
      </c>
      <c r="AS32" s="4">
        <v>5.538815E9</v>
      </c>
      <c r="AT32" s="4">
        <v>5.293064E9</v>
      </c>
      <c r="AU32" s="4">
        <v>5.178776E9</v>
      </c>
      <c r="AV32" s="4">
        <v>5.020025E9</v>
      </c>
      <c r="AW32" s="4">
        <v>5.18187E9</v>
      </c>
      <c r="AX32" s="4">
        <v>5.155539E9</v>
      </c>
      <c r="AY32" s="4">
        <v>5.495208E9</v>
      </c>
      <c r="AZ32" s="4">
        <v>5.491743E9</v>
      </c>
      <c r="BA32" s="4">
        <v>5.532184E9</v>
      </c>
      <c r="BB32" s="4">
        <v>5.49663E9</v>
      </c>
      <c r="BC32" s="4">
        <v>5.44055E9</v>
      </c>
      <c r="BD32" s="4">
        <v>5.473221E9</v>
      </c>
      <c r="BE32" s="4">
        <v>6.277118E9</v>
      </c>
      <c r="BF32" s="4">
        <v>6.123406E9</v>
      </c>
      <c r="BG32" s="4">
        <v>6.062216E9</v>
      </c>
      <c r="BH32" s="4">
        <v>6.057504E9</v>
      </c>
      <c r="BI32" s="4">
        <v>6.176637E9</v>
      </c>
      <c r="BJ32" s="4">
        <v>6.142987E9</v>
      </c>
      <c r="BK32" s="4">
        <v>5.932392E9</v>
      </c>
      <c r="BL32" s="4">
        <v>5.952558E9</v>
      </c>
      <c r="BM32" s="4">
        <v>1.277532E9</v>
      </c>
      <c r="BN32" s="4">
        <v>1.294767E9</v>
      </c>
      <c r="BO32" s="4">
        <v>1.503362E9</v>
      </c>
      <c r="BP32" s="4">
        <v>1.52372E9</v>
      </c>
      <c r="BQ32" s="4">
        <v>1.376653E9</v>
      </c>
      <c r="BR32" s="4">
        <v>1.271392E9</v>
      </c>
      <c r="BS32" s="4">
        <v>1.316494E9</v>
      </c>
      <c r="BT32" s="4">
        <v>1.192549E9</v>
      </c>
      <c r="BU32" s="4">
        <v>1.176572E9</v>
      </c>
      <c r="BV32" s="4">
        <v>1.156539E9</v>
      </c>
      <c r="BW32" s="4">
        <v>1.250527E9</v>
      </c>
      <c r="BX32" s="4">
        <v>1.116129E9</v>
      </c>
      <c r="BY32" s="4">
        <v>1.185686E9</v>
      </c>
      <c r="BZ32" s="4">
        <v>1.075789E9</v>
      </c>
      <c r="CA32" s="4">
        <v>1.087534E9</v>
      </c>
      <c r="CB32" s="4">
        <v>9.63236E8</v>
      </c>
      <c r="CC32" s="4">
        <v>1.01822E9</v>
      </c>
      <c r="CD32" s="4">
        <v>1.045085E9</v>
      </c>
      <c r="CE32" s="4">
        <v>1.220813E9</v>
      </c>
      <c r="CF32" s="4">
        <v>1.133875E9</v>
      </c>
      <c r="CG32" s="4">
        <v>1.500072E9</v>
      </c>
      <c r="CH32" s="4">
        <v>1.510667E9</v>
      </c>
      <c r="CI32" s="4">
        <v>1.516106E9</v>
      </c>
      <c r="CJ32" s="4">
        <v>1.414294E9</v>
      </c>
      <c r="CK32" s="4">
        <v>1.405974E9</v>
      </c>
      <c r="CL32" s="4">
        <v>1.420699E9</v>
      </c>
      <c r="CM32" s="4">
        <v>7.6262E8</v>
      </c>
      <c r="CN32" s="4">
        <v>6.80603E8</v>
      </c>
      <c r="CO32" s="4">
        <v>6.10764E8</v>
      </c>
      <c r="CP32" s="4">
        <v>5.2502E8</v>
      </c>
      <c r="CQ32" s="4">
        <v>6.87E8</v>
      </c>
      <c r="CR32" s="4">
        <v>5.049E8</v>
      </c>
      <c r="CS32" s="4">
        <v>5.379E8</v>
      </c>
      <c r="CT32" s="4">
        <v>4.86023E8</v>
      </c>
      <c r="CU32" s="4">
        <v>6.47E8</v>
      </c>
      <c r="CV32" s="4">
        <v>5.074E8</v>
      </c>
      <c r="CW32" s="4">
        <v>4.198E8</v>
      </c>
      <c r="CX32" s="4">
        <v>3.30942E8</v>
      </c>
      <c r="CY32" s="4">
        <v>5.027E8</v>
      </c>
      <c r="CZ32" s="4">
        <v>3.051E8</v>
      </c>
      <c r="DA32" s="4">
        <v>2.766E8</v>
      </c>
      <c r="DB32" s="4">
        <v>2.32618E8</v>
      </c>
      <c r="DC32" s="4">
        <v>4.106E8</v>
      </c>
      <c r="DD32" s="4">
        <v>2.703E8</v>
      </c>
      <c r="DE32" s="4">
        <v>2.972E8</v>
      </c>
      <c r="DF32" s="4">
        <v>2.59985E8</v>
      </c>
      <c r="DG32" s="4">
        <v>3.859E8</v>
      </c>
      <c r="DH32" s="4">
        <v>2.831E8</v>
      </c>
      <c r="DI32" s="4">
        <v>2.874E8</v>
      </c>
      <c r="DJ32" s="4">
        <v>2.17112E8</v>
      </c>
      <c r="DK32" s="4">
        <v>2.685E8</v>
      </c>
      <c r="DL32" s="4">
        <v>2.115E8</v>
      </c>
      <c r="DM32" s="4">
        <v>1.833E8</v>
      </c>
      <c r="DN32" s="4">
        <v>1.565E8</v>
      </c>
      <c r="DO32" s="4">
        <v>2.35E8</v>
      </c>
      <c r="DP32" s="4">
        <v>1.697E8</v>
      </c>
      <c r="DQ32" s="4">
        <v>1.794E8</v>
      </c>
      <c r="DR32" s="4">
        <v>1.266E8</v>
      </c>
      <c r="DS32" s="4">
        <v>1.886E8</v>
      </c>
      <c r="DT32" s="4">
        <v>1.376E8</v>
      </c>
      <c r="DU32" s="4">
        <v>1.391E8</v>
      </c>
      <c r="DV32" s="4">
        <v>8.63E7</v>
      </c>
      <c r="DW32" s="4">
        <v>1.589E8</v>
      </c>
      <c r="DX32" s="4">
        <v>1.256E8</v>
      </c>
      <c r="DY32" s="4">
        <v>1.122E8</v>
      </c>
      <c r="DZ32" s="4">
        <v>7.6E7</v>
      </c>
      <c r="EA32" s="4">
        <v>1.463E8</v>
      </c>
      <c r="EB32" s="4">
        <v>1.237E8</v>
      </c>
      <c r="EC32" s="4">
        <v>1.287E8</v>
      </c>
      <c r="ED32" s="4">
        <v>7.32E7</v>
      </c>
      <c r="EE32" s="4">
        <v>1.356E8</v>
      </c>
      <c r="EF32" s="4">
        <v>1.176E8</v>
      </c>
      <c r="EG32" s="4">
        <v>9.87E7</v>
      </c>
      <c r="EH32" s="4">
        <v>1.154E8</v>
      </c>
      <c r="EI32" s="4">
        <v>1.236E8</v>
      </c>
      <c r="EJ32" s="4">
        <v>1.196E8</v>
      </c>
    </row>
    <row r="33">
      <c r="A33" s="1" t="s">
        <v>32</v>
      </c>
      <c r="B33" s="4">
        <v>6.033922E9</v>
      </c>
      <c r="C33" s="4">
        <v>6.100679E9</v>
      </c>
      <c r="D33" s="4">
        <v>5.887768E9</v>
      </c>
      <c r="E33" s="4">
        <v>6.502647E9</v>
      </c>
      <c r="F33" s="4">
        <v>7.566786E9</v>
      </c>
      <c r="G33" s="4">
        <v>6.951841E9</v>
      </c>
      <c r="H33" s="4">
        <v>5.979357E9</v>
      </c>
      <c r="I33" s="4">
        <v>5.740499E9</v>
      </c>
      <c r="J33" s="4">
        <v>5.479084E9</v>
      </c>
      <c r="K33" s="4">
        <v>5.315398E9</v>
      </c>
      <c r="L33" s="4">
        <v>5.710783E9</v>
      </c>
      <c r="M33" s="4">
        <v>5.886211E9</v>
      </c>
      <c r="N33" s="4">
        <v>5.411188E9</v>
      </c>
      <c r="O33" s="4">
        <v>4.843228E9</v>
      </c>
      <c r="P33" s="4">
        <v>4.54356E9</v>
      </c>
      <c r="Q33" s="4">
        <v>4.506038E9</v>
      </c>
      <c r="R33" s="4">
        <v>4.31227E9</v>
      </c>
      <c r="S33" s="4">
        <v>3.956716E9</v>
      </c>
      <c r="T33" s="4">
        <v>3.015857E9</v>
      </c>
      <c r="U33" s="4">
        <v>2.982182E9</v>
      </c>
      <c r="V33" s="4">
        <v>2.915544E9</v>
      </c>
      <c r="W33" s="4">
        <v>2.525332E9</v>
      </c>
      <c r="X33" s="4">
        <v>2.964878E9</v>
      </c>
      <c r="Y33" s="4">
        <v>2.937806E9</v>
      </c>
      <c r="Z33" s="4">
        <v>2.806755E9</v>
      </c>
      <c r="AA33" s="4">
        <v>2.692041E9</v>
      </c>
      <c r="AB33" s="4">
        <v>2.622805E9</v>
      </c>
      <c r="AC33" s="4">
        <v>2.959739E9</v>
      </c>
      <c r="AD33" s="4">
        <v>2.719406E9</v>
      </c>
      <c r="AE33" s="4">
        <v>2.011594E9</v>
      </c>
      <c r="AF33" s="4">
        <v>1.995596E9</v>
      </c>
      <c r="AG33" s="4">
        <v>1.991583E9</v>
      </c>
      <c r="AH33" s="4">
        <v>2.154763E9</v>
      </c>
      <c r="AI33" s="4">
        <v>2.072939E9</v>
      </c>
      <c r="AJ33" s="4">
        <v>1.98774E9</v>
      </c>
      <c r="AK33" s="4">
        <v>2.010846E9</v>
      </c>
      <c r="AL33" s="4">
        <v>1.969418E9</v>
      </c>
      <c r="AM33" s="4">
        <v>1.863318E9</v>
      </c>
      <c r="AN33" s="4">
        <v>1.811971E9</v>
      </c>
      <c r="AO33" s="4">
        <v>1.753049E9</v>
      </c>
      <c r="AP33" s="4">
        <v>1.74019E9</v>
      </c>
      <c r="AQ33" s="4">
        <v>1.600402E9</v>
      </c>
      <c r="AR33" s="4">
        <v>1.738547E9</v>
      </c>
      <c r="AS33" s="4">
        <v>1.633839E9</v>
      </c>
      <c r="AT33" s="4">
        <v>1.526683E9</v>
      </c>
      <c r="AU33" s="4">
        <v>1.411253E9</v>
      </c>
      <c r="AV33" s="4">
        <v>1.509902E9</v>
      </c>
      <c r="AW33" s="4">
        <v>1.572221E9</v>
      </c>
      <c r="AX33" s="4">
        <v>1.526951E9</v>
      </c>
      <c r="AY33" s="4">
        <v>1.38723E9</v>
      </c>
      <c r="AZ33" s="4">
        <v>1.365373E9</v>
      </c>
      <c r="BA33" s="4">
        <v>1.410315E9</v>
      </c>
      <c r="BB33" s="4">
        <v>1.31916E9</v>
      </c>
      <c r="BC33" s="4">
        <v>1.20604E9</v>
      </c>
      <c r="BD33" s="4">
        <v>1.2065E9</v>
      </c>
      <c r="BE33" s="4">
        <v>1.310933E9</v>
      </c>
      <c r="BF33" s="4">
        <v>1.165825E9</v>
      </c>
      <c r="BG33" s="4">
        <v>1.092662E9</v>
      </c>
      <c r="BH33" s="4">
        <v>1.075235E9</v>
      </c>
      <c r="BI33" s="4">
        <v>1.192657E9</v>
      </c>
      <c r="BJ33" s="4">
        <v>1.164717E9</v>
      </c>
      <c r="BK33" s="4">
        <v>9.5474E8</v>
      </c>
      <c r="BL33" s="4">
        <v>8.58241E8</v>
      </c>
      <c r="BM33" s="4">
        <v>7.50273E8</v>
      </c>
      <c r="BN33" s="4">
        <v>8.32871E8</v>
      </c>
      <c r="BO33" s="4">
        <v>9.48503E8</v>
      </c>
      <c r="BP33" s="4">
        <v>9.44652E8</v>
      </c>
      <c r="BQ33" s="4">
        <v>9.79492E8</v>
      </c>
      <c r="BR33" s="4">
        <v>9.33797E8</v>
      </c>
      <c r="BS33" s="4">
        <v>9.0994E8</v>
      </c>
      <c r="BT33" s="4">
        <v>8.69368E8</v>
      </c>
      <c r="BU33" s="4">
        <v>8.47778E8</v>
      </c>
      <c r="BV33" s="4">
        <v>8.25692E8</v>
      </c>
      <c r="BW33" s="4">
        <v>8.48659E8</v>
      </c>
      <c r="BX33" s="4">
        <v>7.80869E8</v>
      </c>
      <c r="BY33" s="4">
        <v>8.53417E8</v>
      </c>
      <c r="BZ33" s="4">
        <v>7.43802E8</v>
      </c>
      <c r="CA33" s="4">
        <v>7.60077E8</v>
      </c>
      <c r="CB33" s="4">
        <v>6.33883E8</v>
      </c>
      <c r="CC33" s="4">
        <v>6.40608E8</v>
      </c>
      <c r="CD33" s="4">
        <v>6.64501E8</v>
      </c>
      <c r="CE33" s="4">
        <v>6.73275E8</v>
      </c>
      <c r="CF33" s="4">
        <v>5.81138E8</v>
      </c>
      <c r="CG33" s="4">
        <v>1.110601E9</v>
      </c>
      <c r="CH33" s="4">
        <v>1.133551E9</v>
      </c>
      <c r="CI33" s="4">
        <v>1.168932E9</v>
      </c>
      <c r="CJ33" s="4">
        <v>5.16859E8</v>
      </c>
      <c r="CK33" s="4">
        <v>5.10448E8</v>
      </c>
      <c r="CL33" s="4">
        <v>5.37935E8</v>
      </c>
      <c r="CM33" s="4">
        <v>5.00896E8</v>
      </c>
      <c r="CN33" s="4">
        <v>4.23561E8</v>
      </c>
      <c r="CO33" s="4">
        <v>5.53079E8</v>
      </c>
      <c r="CP33" s="4">
        <v>4.72297E8</v>
      </c>
      <c r="CQ33" s="4">
        <v>6.735E8</v>
      </c>
      <c r="CR33" s="4">
        <v>4.853E8</v>
      </c>
      <c r="CS33" s="4">
        <v>5.127E8</v>
      </c>
      <c r="CT33" s="4">
        <v>4.55134E8</v>
      </c>
      <c r="CU33" s="4">
        <v>6.345E8</v>
      </c>
      <c r="CV33" s="4">
        <v>4.855E8</v>
      </c>
      <c r="CW33" s="4">
        <v>3.978E8</v>
      </c>
      <c r="CX33" s="4">
        <v>3.07711E8</v>
      </c>
      <c r="CY33" s="4">
        <v>4.959E8</v>
      </c>
      <c r="CZ33" s="4">
        <v>2.982E8</v>
      </c>
      <c r="DA33" s="4">
        <v>2.67E8</v>
      </c>
      <c r="DB33" s="4">
        <v>2.24465E8</v>
      </c>
      <c r="DC33" s="4">
        <v>4.043E8</v>
      </c>
      <c r="DD33" s="4">
        <v>2.646E8</v>
      </c>
      <c r="DE33" s="4">
        <v>2.914E8</v>
      </c>
      <c r="DF33" s="4">
        <v>2.53714E8</v>
      </c>
      <c r="DG33" s="4">
        <v>3.792E8</v>
      </c>
      <c r="DH33" s="4">
        <v>2.761E8</v>
      </c>
      <c r="DI33" s="4">
        <v>2.802E8</v>
      </c>
      <c r="DJ33" s="4">
        <v>2.08963E8</v>
      </c>
      <c r="DK33" s="4">
        <v>2.614E8</v>
      </c>
      <c r="DL33" s="4">
        <v>2.042E8</v>
      </c>
      <c r="DM33" s="4">
        <v>1.759E8</v>
      </c>
      <c r="DN33" s="4">
        <v>1.482E8</v>
      </c>
      <c r="DO33" s="4">
        <v>2.266E8</v>
      </c>
      <c r="DP33" s="4">
        <v>1.612E8</v>
      </c>
      <c r="DQ33" s="4">
        <v>1.707E8</v>
      </c>
      <c r="DR33" s="4">
        <v>1.17E8</v>
      </c>
      <c r="DS33" s="4">
        <v>1.787E8</v>
      </c>
      <c r="DT33" s="4">
        <v>9.75E7</v>
      </c>
      <c r="DU33" s="4">
        <v>1.129E8</v>
      </c>
      <c r="DV33" s="4">
        <v>6.24E7</v>
      </c>
      <c r="DW33" s="4">
        <v>1.115E8</v>
      </c>
      <c r="DX33" s="4">
        <v>8.56E7</v>
      </c>
      <c r="DY33" s="4">
        <v>8.63E7</v>
      </c>
      <c r="DZ33" s="4">
        <v>5.51E7</v>
      </c>
      <c r="EA33" s="4">
        <v>8.47E7</v>
      </c>
      <c r="EB33" s="4">
        <v>6.48E7</v>
      </c>
      <c r="EC33" s="4">
        <v>8.07E7</v>
      </c>
      <c r="ED33" s="4">
        <v>4.51E7</v>
      </c>
      <c r="EE33" s="4">
        <v>7.36E7</v>
      </c>
      <c r="EF33" s="4">
        <v>5.45E7</v>
      </c>
      <c r="EG33" s="4">
        <v>5.24E7</v>
      </c>
      <c r="EH33" s="4">
        <v>6.14E7</v>
      </c>
      <c r="EI33" s="4">
        <v>6.52E7</v>
      </c>
      <c r="EJ33" s="4">
        <v>5.02E7</v>
      </c>
    </row>
    <row r="34">
      <c r="A34" s="1" t="s">
        <v>33</v>
      </c>
      <c r="B34" s="4">
        <v>4.702489E9</v>
      </c>
      <c r="C34" s="4">
        <v>4.538926E9</v>
      </c>
      <c r="D34" s="4">
        <v>4.598829E9</v>
      </c>
      <c r="E34" s="4">
        <v>5.245587E9</v>
      </c>
      <c r="F34" s="4">
        <v>5.435087E9</v>
      </c>
      <c r="G34" s="4">
        <v>4.846163E9</v>
      </c>
      <c r="H34" s="4">
        <v>4.795798E9</v>
      </c>
      <c r="I34" s="4">
        <v>4.583254E9</v>
      </c>
      <c r="J34" s="4">
        <v>4.351243E9</v>
      </c>
      <c r="K34" s="4">
        <v>4.214029E9</v>
      </c>
      <c r="L34" s="4">
        <v>4.636704E9</v>
      </c>
      <c r="M34" s="4">
        <v>4.841843E9</v>
      </c>
      <c r="N34" s="4">
        <v>4.395455E9</v>
      </c>
      <c r="O34" s="4">
        <v>3.851594E9</v>
      </c>
      <c r="P34" s="4">
        <v>3.5782E9</v>
      </c>
      <c r="Q34" s="4">
        <v>3.564979E9</v>
      </c>
      <c r="R34" s="4">
        <v>3.39664E9</v>
      </c>
      <c r="S34" s="4">
        <v>3.061692E9</v>
      </c>
      <c r="T34" s="4">
        <v>3.013907E9</v>
      </c>
      <c r="U34" s="4">
        <v>2.980253E9</v>
      </c>
      <c r="V34" s="4">
        <v>2.913635E9</v>
      </c>
      <c r="W34" s="4">
        <v>2.523443E9</v>
      </c>
      <c r="X34" s="4">
        <v>2.563533E9</v>
      </c>
      <c r="Y34" s="4">
        <v>2.536274E9</v>
      </c>
      <c r="Z34" s="4">
        <v>2.405353E9</v>
      </c>
      <c r="AA34" s="4">
        <v>2.290853E9</v>
      </c>
      <c r="AB34" s="4">
        <v>2.121855E9</v>
      </c>
      <c r="AC34" s="4">
        <v>2.458259E9</v>
      </c>
      <c r="AD34" s="4">
        <v>2.217858E9</v>
      </c>
      <c r="AE34" s="4">
        <v>2.010068E9</v>
      </c>
      <c r="AF34" s="4">
        <v>1.994217E9</v>
      </c>
      <c r="AG34" s="4">
        <v>1.974097E9</v>
      </c>
      <c r="AH34" s="4">
        <v>2.021122E9</v>
      </c>
      <c r="AI34" s="4">
        <v>1.937822E9</v>
      </c>
      <c r="AJ34" s="4">
        <v>1.861314E9</v>
      </c>
      <c r="AK34" s="4">
        <v>1.870947E9</v>
      </c>
      <c r="AL34" s="4">
        <v>1.846971E9</v>
      </c>
      <c r="AM34" s="4">
        <v>1.738784E9</v>
      </c>
      <c r="AN34" s="4">
        <v>1.71421E9</v>
      </c>
      <c r="AO34" s="4">
        <v>1.666914E9</v>
      </c>
      <c r="AP34" s="4">
        <v>1.68569E9</v>
      </c>
      <c r="AQ34" s="4">
        <v>1.567973E9</v>
      </c>
      <c r="AR34" s="4">
        <v>1.637451E9</v>
      </c>
      <c r="AS34" s="4">
        <v>1.593163E9</v>
      </c>
      <c r="AT34" s="4">
        <v>1.510793E9</v>
      </c>
      <c r="AU34" s="4">
        <v>1.396628E9</v>
      </c>
      <c r="AV34" s="4">
        <v>1.428601E9</v>
      </c>
      <c r="AW34" s="4">
        <v>1.548632E9</v>
      </c>
      <c r="AX34" s="4">
        <v>1.490382E9</v>
      </c>
      <c r="AY34" s="4">
        <v>1.346349E9</v>
      </c>
      <c r="AZ34" s="4">
        <v>1.327362E9</v>
      </c>
      <c r="BA34" s="4">
        <v>1.364356E9</v>
      </c>
      <c r="BB34" s="4">
        <v>1.278278E9</v>
      </c>
      <c r="BC34" s="4">
        <v>1.156211E9</v>
      </c>
      <c r="BD34" s="4">
        <v>1.177768E9</v>
      </c>
      <c r="BE34" s="4">
        <v>1.237993E9</v>
      </c>
      <c r="BF34" s="4">
        <v>1.123996E9</v>
      </c>
      <c r="BG34" s="4">
        <v>1.061194E9</v>
      </c>
      <c r="BH34" s="4">
        <v>1.061077E9</v>
      </c>
      <c r="BI34" s="4">
        <v>1.161533E9</v>
      </c>
      <c r="BJ34" s="4">
        <v>1.161718E9</v>
      </c>
      <c r="BK34" s="4">
        <v>9.5191E8</v>
      </c>
      <c r="BL34" s="4">
        <v>8.54995E8</v>
      </c>
      <c r="BM34" s="4">
        <v>7.43087E8</v>
      </c>
      <c r="BN34" s="4">
        <v>8.24791E8</v>
      </c>
      <c r="BO34" s="4">
        <v>9.4003E8</v>
      </c>
      <c r="BP34" s="4">
        <v>9.35485E8</v>
      </c>
      <c r="BQ34" s="4">
        <v>9.70692E8</v>
      </c>
      <c r="BR34" s="4">
        <v>9.25012E8</v>
      </c>
      <c r="BS34" s="4">
        <v>9.01076E8</v>
      </c>
      <c r="BT34" s="4">
        <v>8.59807E8</v>
      </c>
      <c r="BU34" s="4">
        <v>8.37041E8</v>
      </c>
      <c r="BV34" s="4">
        <v>8.12832E8</v>
      </c>
      <c r="BW34" s="4">
        <v>8.33955E8</v>
      </c>
      <c r="BX34" s="4">
        <v>7.64913E8</v>
      </c>
      <c r="BY34" s="4">
        <v>8.36537E8</v>
      </c>
      <c r="BZ34" s="4">
        <v>7.27132E8</v>
      </c>
      <c r="CA34" s="4">
        <v>7.42782E8</v>
      </c>
      <c r="CB34" s="4">
        <v>6.16926E8</v>
      </c>
      <c r="CC34" s="4">
        <v>6.24048E8</v>
      </c>
      <c r="CD34" s="4">
        <v>6.48292E8</v>
      </c>
      <c r="CE34" s="4">
        <v>6.57441E8</v>
      </c>
      <c r="CF34" s="4">
        <v>5.66006E8</v>
      </c>
      <c r="CG34" s="4">
        <v>7.14724E8</v>
      </c>
      <c r="CH34" s="4">
        <v>7.37876E8</v>
      </c>
      <c r="CI34" s="4">
        <v>7.77843E8</v>
      </c>
      <c r="CJ34" s="4">
        <v>5.08917E8</v>
      </c>
      <c r="CK34" s="4">
        <v>5.03365E8</v>
      </c>
      <c r="CL34" s="4">
        <v>5.289E8</v>
      </c>
      <c r="CM34" s="4">
        <v>4.35905E8</v>
      </c>
      <c r="CN34" s="4">
        <v>3.99235E8</v>
      </c>
      <c r="CO34" s="4">
        <v>3.70125E8</v>
      </c>
      <c r="CP34" s="4">
        <v>4.71064E8</v>
      </c>
      <c r="CQ34" s="4">
        <v>3.476E8</v>
      </c>
      <c r="CR34" s="4">
        <v>2.099E8</v>
      </c>
      <c r="CS34" s="4">
        <v>2.467E8</v>
      </c>
      <c r="CT34" s="4">
        <v>4.54409E8</v>
      </c>
      <c r="CU34" s="4">
        <v>2.808E8</v>
      </c>
      <c r="CV34" s="4">
        <v>2.145E8</v>
      </c>
      <c r="CW34" s="4">
        <v>1.791E8</v>
      </c>
      <c r="CX34" s="4">
        <v>2.84328E8</v>
      </c>
      <c r="CY34" s="4">
        <v>2.108E8</v>
      </c>
      <c r="CZ34" s="4">
        <v>1.631E8</v>
      </c>
      <c r="DA34" s="4">
        <v>1.527E8</v>
      </c>
      <c r="DB34" s="4">
        <v>1.83966E8</v>
      </c>
      <c r="DC34" s="4">
        <v>1.447E8</v>
      </c>
      <c r="DD34" s="4">
        <v>1.212E8</v>
      </c>
      <c r="DE34" s="4">
        <v>1.204E8</v>
      </c>
      <c r="DF34" s="4">
        <v>1.80032E8</v>
      </c>
      <c r="DG34" s="4">
        <v>1.119E8</v>
      </c>
      <c r="DH34" s="4">
        <v>9.36E7</v>
      </c>
      <c r="DI34" s="4">
        <v>1.227E8</v>
      </c>
      <c r="DJ34" s="4">
        <v>1.77922E8</v>
      </c>
      <c r="DK34" s="4">
        <v>8.88E7</v>
      </c>
      <c r="DL34" s="4">
        <v>9.15E7</v>
      </c>
      <c r="DM34" s="4">
        <v>1.011E8</v>
      </c>
      <c r="DN34" s="4">
        <v>8.1E7</v>
      </c>
      <c r="DO34" s="4">
        <v>1.12E8</v>
      </c>
      <c r="DP34" s="4">
        <v>8.33E7</v>
      </c>
      <c r="DQ34" s="4">
        <v>1.013E8</v>
      </c>
      <c r="DR34" s="4">
        <v>6.4E7</v>
      </c>
      <c r="DS34" s="4">
        <v>8.54E7</v>
      </c>
      <c r="DT34" s="4">
        <v>6.57E7</v>
      </c>
      <c r="DU34" s="4">
        <v>8.63E7</v>
      </c>
      <c r="DV34" s="4">
        <v>3.78E7</v>
      </c>
      <c r="DW34" s="4">
        <v>7.93E7</v>
      </c>
      <c r="DX34" s="4">
        <v>6.35E7</v>
      </c>
      <c r="DY34" s="4">
        <v>6.73E7</v>
      </c>
      <c r="DZ34" s="4">
        <v>3.15E7</v>
      </c>
      <c r="EA34" s="4">
        <v>5.65E7</v>
      </c>
      <c r="EB34" s="4">
        <v>4.05E7</v>
      </c>
      <c r="EC34" s="4">
        <v>5.79E7</v>
      </c>
      <c r="ED34" s="4">
        <v>2.21E7</v>
      </c>
      <c r="EE34" s="4">
        <v>5.13E7</v>
      </c>
      <c r="EF34" s="4">
        <v>3.7E7</v>
      </c>
    </row>
    <row r="35">
      <c r="A35" s="1" t="s">
        <v>34</v>
      </c>
      <c r="B35" s="4">
        <v>3.688895E9</v>
      </c>
      <c r="C35" s="4">
        <v>3.690169E9</v>
      </c>
      <c r="D35" s="4">
        <v>3.56191E9</v>
      </c>
      <c r="E35" s="4">
        <v>4.135082E9</v>
      </c>
      <c r="F35" s="4">
        <v>4.365161E9</v>
      </c>
      <c r="G35" s="4">
        <v>3.915903E9</v>
      </c>
      <c r="H35" s="4">
        <v>3.746659E9</v>
      </c>
      <c r="I35" s="4">
        <v>3.544032E9</v>
      </c>
      <c r="J35" s="4">
        <v>3.378218E9</v>
      </c>
      <c r="K35" s="4">
        <v>3.352376E9</v>
      </c>
      <c r="L35" s="4">
        <v>3.630152E9</v>
      </c>
      <c r="M35" s="4">
        <v>3.781241E9</v>
      </c>
      <c r="N35" s="4">
        <v>3.416888E9</v>
      </c>
      <c r="O35" s="4">
        <v>3.060226E9</v>
      </c>
      <c r="P35" s="4">
        <v>2.869044E9</v>
      </c>
      <c r="Q35" s="4">
        <v>2.847512E9</v>
      </c>
      <c r="R35" s="4">
        <v>2.730389E9</v>
      </c>
      <c r="S35" s="4">
        <v>2.501685E9</v>
      </c>
      <c r="T35" s="4">
        <v>2.395502E9</v>
      </c>
      <c r="U35" s="4">
        <v>2.341609E9</v>
      </c>
      <c r="V35" s="4">
        <v>2.302246E9</v>
      </c>
      <c r="W35" s="4">
        <v>2.028072E9</v>
      </c>
      <c r="X35" s="4">
        <v>2.013875E9</v>
      </c>
      <c r="Y35" s="4">
        <v>1.982678E9</v>
      </c>
      <c r="Z35" s="4">
        <v>1.884326E9</v>
      </c>
      <c r="AA35" s="4">
        <v>1.831748E9</v>
      </c>
      <c r="AB35" s="4">
        <v>1.620989E9</v>
      </c>
      <c r="AC35" s="4">
        <v>1.953832E9</v>
      </c>
      <c r="AD35" s="4">
        <v>1.743432E9</v>
      </c>
      <c r="AE35" s="4">
        <v>1.569371E9</v>
      </c>
      <c r="AF35" s="4">
        <v>1.527095E9</v>
      </c>
      <c r="AG35" s="4">
        <v>1.500569E9</v>
      </c>
      <c r="AH35" s="4">
        <v>1.577958E9</v>
      </c>
      <c r="AI35" s="4">
        <v>1.544315E9</v>
      </c>
      <c r="AJ35" s="4">
        <v>1.447554E9</v>
      </c>
      <c r="AK35" s="4">
        <v>1.428088E9</v>
      </c>
      <c r="AL35" s="4">
        <v>1.419702E9</v>
      </c>
      <c r="AM35" s="4">
        <v>1.343957E9</v>
      </c>
      <c r="AN35" s="4">
        <v>1.345632E9</v>
      </c>
      <c r="AO35" s="4">
        <v>1.252033E9</v>
      </c>
      <c r="AP35" s="4">
        <v>1.272836E9</v>
      </c>
      <c r="AQ35" s="4">
        <v>1.208935E9</v>
      </c>
      <c r="AR35" s="4">
        <v>1.446323E9</v>
      </c>
      <c r="AS35" s="4">
        <v>1.200724E9</v>
      </c>
      <c r="AT35" s="4">
        <v>1.144522E9</v>
      </c>
      <c r="AU35" s="4">
        <v>1.036279E9</v>
      </c>
      <c r="AV35" s="4">
        <v>1.216468E9</v>
      </c>
      <c r="AW35" s="4">
        <v>1.133655E9</v>
      </c>
      <c r="AX35" s="4">
        <v>1.123759E9</v>
      </c>
      <c r="AY35" s="4">
        <v>9.65927E8</v>
      </c>
      <c r="AZ35" s="4">
        <v>9.79621E8</v>
      </c>
      <c r="BA35" s="4">
        <v>9.85606E8</v>
      </c>
      <c r="BB35" s="4">
        <v>9.56606E8</v>
      </c>
      <c r="BC35" s="4">
        <v>8.2396E8</v>
      </c>
      <c r="BD35" s="4">
        <v>8.35478E8</v>
      </c>
      <c r="BE35" s="4">
        <v>8.56647E8</v>
      </c>
      <c r="BF35" s="4">
        <v>8.19612E8</v>
      </c>
      <c r="BG35" s="4">
        <v>7.28472E8</v>
      </c>
      <c r="BH35" s="4">
        <v>6.86032E8</v>
      </c>
      <c r="BI35" s="4">
        <v>7.2195E8</v>
      </c>
      <c r="BJ35" s="4">
        <v>8.1999E8</v>
      </c>
      <c r="BK35" s="4">
        <v>5.94995E8</v>
      </c>
      <c r="BL35" s="4">
        <v>5.54039E8</v>
      </c>
      <c r="BM35" s="4">
        <v>4.84997E8</v>
      </c>
      <c r="BN35" s="4">
        <v>5.71233E8</v>
      </c>
      <c r="BO35" s="4">
        <v>5.33269E8</v>
      </c>
      <c r="BP35" s="4">
        <v>5.47616E8</v>
      </c>
      <c r="BQ35" s="4">
        <v>5.91474E8</v>
      </c>
      <c r="BR35" s="4">
        <v>5.52092E8</v>
      </c>
      <c r="BS35" s="4">
        <v>5.28539E8</v>
      </c>
      <c r="BT35" s="4">
        <v>5.12201E8</v>
      </c>
      <c r="BU35" s="4">
        <v>5.14299E8</v>
      </c>
      <c r="BV35" s="4">
        <v>4.78943E8</v>
      </c>
      <c r="BW35" s="4">
        <v>4.97547E8</v>
      </c>
      <c r="BX35" s="4">
        <v>4.59951E8</v>
      </c>
      <c r="BY35" s="4">
        <v>5.48509E8</v>
      </c>
      <c r="BZ35" s="4">
        <v>4.29516E8</v>
      </c>
      <c r="CA35" s="4">
        <v>4.55058E8</v>
      </c>
      <c r="CB35" s="4">
        <v>3.61899E8</v>
      </c>
      <c r="CC35" s="4">
        <v>3.9376E8</v>
      </c>
      <c r="CD35" s="4">
        <v>4.08394E8</v>
      </c>
      <c r="CE35" s="4">
        <v>4.10626E8</v>
      </c>
      <c r="CF35" s="4">
        <v>3.46786E8</v>
      </c>
      <c r="CG35" s="4">
        <v>5.02134E8</v>
      </c>
      <c r="CH35" s="4">
        <v>4.95096E8</v>
      </c>
      <c r="CI35" s="4">
        <v>5.54335E8</v>
      </c>
      <c r="CJ35" s="4">
        <v>2.94784E8</v>
      </c>
      <c r="CK35" s="4">
        <v>3.02682E8</v>
      </c>
      <c r="CL35" s="4">
        <v>3.14708E8</v>
      </c>
      <c r="CM35" s="4">
        <v>3.13454E8</v>
      </c>
      <c r="CN35" s="4">
        <v>2.77815E8</v>
      </c>
      <c r="CO35" s="4">
        <v>2.55471E8</v>
      </c>
      <c r="CP35" s="4">
        <v>3.49689E8</v>
      </c>
      <c r="CQ35" s="4">
        <v>3.476E8</v>
      </c>
      <c r="CR35" s="4">
        <v>2.099E8</v>
      </c>
      <c r="CS35" s="4">
        <v>2.467E8</v>
      </c>
      <c r="CT35" s="4">
        <v>2.81584E8</v>
      </c>
      <c r="CU35" s="4">
        <v>2.808E8</v>
      </c>
      <c r="CV35" s="4">
        <v>2.145E8</v>
      </c>
      <c r="CW35" s="4">
        <v>1.791E8</v>
      </c>
      <c r="CX35" s="4">
        <v>1.92301E8</v>
      </c>
      <c r="CY35" s="4">
        <v>2.108E8</v>
      </c>
      <c r="CZ35" s="4">
        <v>1.631E8</v>
      </c>
      <c r="DA35" s="4">
        <v>1.527E8</v>
      </c>
      <c r="DB35" s="4">
        <v>1.13525E8</v>
      </c>
      <c r="DC35" s="4">
        <v>1.447E8</v>
      </c>
      <c r="DD35" s="4">
        <v>1.212E8</v>
      </c>
      <c r="DE35" s="4">
        <v>1.204E8</v>
      </c>
      <c r="DF35" s="4">
        <v>1.17933E8</v>
      </c>
      <c r="DG35" s="4">
        <v>1.119E8</v>
      </c>
      <c r="DH35" s="4">
        <v>9.36E7</v>
      </c>
      <c r="DI35" s="4">
        <v>1.227E8</v>
      </c>
      <c r="DJ35" s="4">
        <v>1.16885E8</v>
      </c>
      <c r="DK35" s="4">
        <v>8.88E7</v>
      </c>
      <c r="DL35" s="4">
        <v>9.15E7</v>
      </c>
      <c r="DM35" s="4">
        <v>1.011E8</v>
      </c>
      <c r="DN35" s="4">
        <v>8.1E7</v>
      </c>
      <c r="DO35" s="4">
        <v>1.12E8</v>
      </c>
      <c r="DP35" s="4">
        <v>8.33E7</v>
      </c>
      <c r="DQ35" s="4">
        <v>1.013E8</v>
      </c>
      <c r="DR35" s="4">
        <v>6.4E7</v>
      </c>
      <c r="DS35" s="4">
        <v>8.54E7</v>
      </c>
      <c r="DT35" s="4">
        <v>6.57E7</v>
      </c>
      <c r="DU35" s="4">
        <v>8.63E7</v>
      </c>
      <c r="DV35" s="4">
        <v>3.78E7</v>
      </c>
      <c r="DW35" s="4">
        <v>7.93E7</v>
      </c>
      <c r="DX35" s="4">
        <v>6.35E7</v>
      </c>
      <c r="DY35" s="4">
        <v>6.73E7</v>
      </c>
      <c r="DZ35" s="4">
        <v>3.15E7</v>
      </c>
      <c r="EA35" s="4">
        <v>5.65E7</v>
      </c>
      <c r="EB35" s="4">
        <v>4.05E7</v>
      </c>
      <c r="EC35" s="4">
        <v>5.79E7</v>
      </c>
      <c r="ED35" s="4">
        <v>2.21E7</v>
      </c>
      <c r="EE35" s="4">
        <v>5.13E7</v>
      </c>
      <c r="EF35" s="4">
        <v>3.7E7</v>
      </c>
    </row>
    <row r="36">
      <c r="A36" s="1" t="s">
        <v>35</v>
      </c>
      <c r="B36" s="4">
        <v>3.681634E9</v>
      </c>
      <c r="C36" s="4">
        <v>3.67917E9</v>
      </c>
      <c r="D36" s="4">
        <v>3.552991E9</v>
      </c>
      <c r="E36" s="4">
        <v>4.127076E9</v>
      </c>
      <c r="F36" s="4">
        <v>4.358388E9</v>
      </c>
      <c r="G36" s="4">
        <v>3.906852E9</v>
      </c>
      <c r="H36" s="4">
        <v>3.738604E9</v>
      </c>
      <c r="I36" s="4">
        <v>3.532639E9</v>
      </c>
      <c r="J36" s="4">
        <v>3.369984E9</v>
      </c>
      <c r="K36" s="4">
        <v>3.294423E9</v>
      </c>
      <c r="L36" s="4">
        <v>3.614089E9</v>
      </c>
      <c r="M36" s="4">
        <v>3.770528E9</v>
      </c>
      <c r="N36" s="4">
        <v>3.400642E9</v>
      </c>
      <c r="O36" s="4">
        <v>2.954361E9</v>
      </c>
      <c r="P36" s="4">
        <v>2.860682E9</v>
      </c>
      <c r="Q36" s="4">
        <v>2.844171E9</v>
      </c>
      <c r="R36" s="4">
        <v>2.727079E9</v>
      </c>
      <c r="S36" s="4">
        <v>2.452898E9</v>
      </c>
      <c r="T36" s="4">
        <v>2.385469E9</v>
      </c>
      <c r="U36" s="4">
        <v>2.336772E9</v>
      </c>
      <c r="V36" s="4">
        <v>2.294996E9</v>
      </c>
      <c r="W36" s="4">
        <v>2.01832E9</v>
      </c>
      <c r="X36" s="4">
        <v>2.009771E9</v>
      </c>
      <c r="Y36" s="4">
        <v>1.978032E9</v>
      </c>
      <c r="Z36" s="4">
        <v>1.880668E9</v>
      </c>
      <c r="AA36" s="4">
        <v>1.622776E9</v>
      </c>
      <c r="AB36" s="4">
        <v>1.557596E9</v>
      </c>
      <c r="AC36" s="4">
        <v>1.948111E9</v>
      </c>
      <c r="AD36" s="4">
        <v>1.720772E9</v>
      </c>
      <c r="AE36" s="4">
        <v>1.447223E9</v>
      </c>
      <c r="AF36" s="4">
        <v>1.494225E9</v>
      </c>
      <c r="AG36" s="4">
        <v>1.470107E9</v>
      </c>
      <c r="AH36" s="4">
        <v>1.53661E9</v>
      </c>
      <c r="AI36" s="4">
        <v>1.435367E9</v>
      </c>
      <c r="AJ36" s="4">
        <v>1.388154E9</v>
      </c>
      <c r="AK36" s="4">
        <v>1.394873E9</v>
      </c>
      <c r="AL36" s="4">
        <v>1.39578E9</v>
      </c>
      <c r="AM36" s="4">
        <v>1.22268E9</v>
      </c>
      <c r="AN36" s="4">
        <v>1.286484E9</v>
      </c>
      <c r="AO36" s="4">
        <v>1.251394E9</v>
      </c>
      <c r="AP36" s="4">
        <v>1.254856E9</v>
      </c>
      <c r="AQ36" s="4">
        <v>1.138395E9</v>
      </c>
      <c r="AR36" s="4">
        <v>1.261607E9</v>
      </c>
      <c r="AS36" s="4">
        <v>1.199727E9</v>
      </c>
      <c r="AT36" s="4">
        <v>1.143857E9</v>
      </c>
      <c r="AU36" s="4">
        <v>9.85924E8</v>
      </c>
      <c r="AV36" s="4">
        <v>1.064087E9</v>
      </c>
      <c r="AW36" s="4">
        <v>1.132544E9</v>
      </c>
      <c r="AX36" s="4">
        <v>1.122949E9</v>
      </c>
      <c r="AY36" s="4">
        <v>9.3371E8</v>
      </c>
      <c r="AZ36" s="4">
        <v>9.53641E8</v>
      </c>
      <c r="BA36" s="4">
        <v>9.71538E8</v>
      </c>
      <c r="BB36" s="4">
        <v>9.41742E8</v>
      </c>
      <c r="BC36" s="4">
        <v>7.89274E8</v>
      </c>
      <c r="BD36" s="4">
        <v>8.30953E8</v>
      </c>
      <c r="BE36" s="4">
        <v>8.52988E8</v>
      </c>
      <c r="BF36" s="4">
        <v>8.00308E8</v>
      </c>
      <c r="BG36" s="4">
        <v>7.00438E8</v>
      </c>
      <c r="BH36" s="4">
        <v>6.78421E8</v>
      </c>
      <c r="BI36" s="4">
        <v>7.20126E8</v>
      </c>
      <c r="BJ36" s="4">
        <v>8.18246E8</v>
      </c>
      <c r="BK36" s="4">
        <v>5.92071E8</v>
      </c>
      <c r="BL36" s="4">
        <v>5.5104E8</v>
      </c>
      <c r="BM36" s="4">
        <v>4.84949E8</v>
      </c>
      <c r="BN36" s="4">
        <v>5.55274E8</v>
      </c>
      <c r="BO36" s="4">
        <v>5.17443E8</v>
      </c>
      <c r="BP36" s="4">
        <v>5.38046E8</v>
      </c>
      <c r="BQ36" s="4">
        <v>5.69447E8</v>
      </c>
      <c r="BR36" s="4">
        <v>5.08386E8</v>
      </c>
      <c r="BS36" s="4">
        <v>5.21087E8</v>
      </c>
      <c r="BT36" s="4">
        <v>4.62697E8</v>
      </c>
      <c r="BU36" s="4">
        <v>4.59742E8</v>
      </c>
      <c r="BV36" s="4">
        <v>4.09327E8</v>
      </c>
      <c r="BW36" s="4">
        <v>4.75841E8</v>
      </c>
      <c r="BX36" s="4">
        <v>4.40485E8</v>
      </c>
      <c r="BY36" s="4">
        <v>5.10187E8</v>
      </c>
      <c r="BZ36" s="4">
        <v>3.83791E8</v>
      </c>
      <c r="CA36" s="4">
        <v>4.40505E8</v>
      </c>
      <c r="CB36" s="4">
        <v>3.52717E8</v>
      </c>
      <c r="CC36" s="4">
        <v>3.57224E8</v>
      </c>
      <c r="CD36" s="4">
        <v>3.41303E8</v>
      </c>
      <c r="CE36" s="4">
        <v>4.10426E8</v>
      </c>
      <c r="CF36" s="4">
        <v>3.46786E8</v>
      </c>
      <c r="CG36" s="4">
        <v>3.41134E8</v>
      </c>
      <c r="CH36" s="4">
        <v>3.22463E8</v>
      </c>
      <c r="CI36" s="4">
        <v>3.81843E8</v>
      </c>
      <c r="CJ36" s="4">
        <v>2.94784E8</v>
      </c>
      <c r="CK36" s="4">
        <v>2.8256E8</v>
      </c>
      <c r="CL36" s="4">
        <v>2.97262E8</v>
      </c>
      <c r="CM36" s="4">
        <v>3.09508E8</v>
      </c>
      <c r="CN36" s="4">
        <v>2.77815E8</v>
      </c>
      <c r="CO36" s="4">
        <v>2.42361E8</v>
      </c>
      <c r="CP36" s="4">
        <v>3.34554E8</v>
      </c>
      <c r="CQ36" s="4">
        <v>3.476E8</v>
      </c>
      <c r="CR36" s="4">
        <v>2.099E8</v>
      </c>
      <c r="CS36" s="4">
        <v>2.467E8</v>
      </c>
      <c r="CT36" s="4">
        <v>2.57759E8</v>
      </c>
      <c r="CU36" s="4">
        <v>2.808E8</v>
      </c>
      <c r="CV36" s="4">
        <v>2.145E8</v>
      </c>
      <c r="CW36" s="4">
        <v>1.791E8</v>
      </c>
      <c r="CX36" s="4">
        <v>1.79958E8</v>
      </c>
      <c r="CY36" s="4">
        <v>2.108E8</v>
      </c>
      <c r="CZ36" s="4">
        <v>1.631E8</v>
      </c>
      <c r="DA36" s="4">
        <v>1.527E8</v>
      </c>
      <c r="DB36" s="4">
        <v>1.03523E8</v>
      </c>
      <c r="DC36" s="4">
        <v>1.447E8</v>
      </c>
      <c r="DD36" s="4">
        <v>1.212E8</v>
      </c>
      <c r="DE36" s="4">
        <v>1.204E8</v>
      </c>
      <c r="DF36" s="4">
        <v>1.03176E8</v>
      </c>
      <c r="DG36" s="4">
        <v>1.119E8</v>
      </c>
      <c r="DH36" s="4">
        <v>9.36E7</v>
      </c>
      <c r="DI36" s="4">
        <v>1.227E8</v>
      </c>
      <c r="DJ36" s="4">
        <v>1.11675E8</v>
      </c>
      <c r="DK36" s="4">
        <v>8.88E7</v>
      </c>
      <c r="DL36" s="4">
        <v>9.15E7</v>
      </c>
      <c r="DM36" s="4">
        <v>1.011E8</v>
      </c>
      <c r="DN36" s="4">
        <v>8.1E7</v>
      </c>
      <c r="DO36" s="4">
        <v>1.12E8</v>
      </c>
      <c r="DP36" s="4">
        <v>8.33E7</v>
      </c>
      <c r="DQ36" s="4">
        <v>1.013E8</v>
      </c>
      <c r="DR36" s="4">
        <v>6.4E7</v>
      </c>
      <c r="DS36" s="4">
        <v>8.54E7</v>
      </c>
      <c r="DT36" s="4">
        <v>6.57E7</v>
      </c>
      <c r="DU36" s="4">
        <v>8.63E7</v>
      </c>
      <c r="DV36" s="4">
        <v>3.78E7</v>
      </c>
      <c r="DW36" s="4">
        <v>7.93E7</v>
      </c>
      <c r="DX36" s="4">
        <v>6.35E7</v>
      </c>
      <c r="DY36" s="4">
        <v>6.73E7</v>
      </c>
      <c r="DZ36" s="4">
        <v>3.15E7</v>
      </c>
      <c r="EA36" s="4">
        <v>5.65E7</v>
      </c>
      <c r="EB36" s="4">
        <v>4.05E7</v>
      </c>
      <c r="EC36" s="4">
        <v>5.79E7</v>
      </c>
      <c r="ED36" s="4">
        <v>2.21E7</v>
      </c>
      <c r="EE36" s="4">
        <v>5.13E7</v>
      </c>
      <c r="EF36" s="4">
        <v>3.7E7</v>
      </c>
    </row>
    <row r="37">
      <c r="A37" s="1" t="s">
        <v>36</v>
      </c>
      <c r="B37" s="4">
        <v>7261000.0</v>
      </c>
      <c r="C37" s="4">
        <v>1.0999E7</v>
      </c>
      <c r="D37" s="4">
        <v>8919000.0</v>
      </c>
      <c r="E37" s="4">
        <v>8006000.0</v>
      </c>
      <c r="F37" s="4">
        <v>6773000.0</v>
      </c>
      <c r="G37" s="4">
        <v>9051000.0</v>
      </c>
      <c r="H37" s="4">
        <v>8055000.0</v>
      </c>
      <c r="I37" s="4">
        <v>1.1393E7</v>
      </c>
      <c r="J37" s="4">
        <v>8234000.0</v>
      </c>
      <c r="K37" s="4">
        <v>5.7953E7</v>
      </c>
      <c r="L37" s="4">
        <v>1.6063E7</v>
      </c>
      <c r="M37" s="4">
        <v>1.0713E7</v>
      </c>
      <c r="N37" s="4">
        <v>1.6246E7</v>
      </c>
      <c r="O37" s="4">
        <v>1.05865E8</v>
      </c>
      <c r="P37" s="4">
        <v>8362000.0</v>
      </c>
      <c r="Q37" s="4">
        <v>3341000.0</v>
      </c>
      <c r="R37" s="4">
        <v>3310000.0</v>
      </c>
      <c r="S37" s="4">
        <v>4.8787E7</v>
      </c>
      <c r="T37" s="4">
        <v>1.0033E7</v>
      </c>
      <c r="U37" s="4">
        <v>4837000.0</v>
      </c>
      <c r="V37" s="4">
        <v>7250000.0</v>
      </c>
      <c r="W37" s="4">
        <v>9752000.0</v>
      </c>
      <c r="X37" s="4">
        <v>4104000.0</v>
      </c>
      <c r="Y37" s="4">
        <v>4646000.0</v>
      </c>
      <c r="Z37" s="4">
        <v>3658000.0</v>
      </c>
      <c r="AA37" s="4">
        <v>2.08972E8</v>
      </c>
      <c r="AB37" s="4">
        <v>6.3393E7</v>
      </c>
      <c r="AC37" s="4">
        <v>5721000.0</v>
      </c>
      <c r="AD37" s="4">
        <v>2.266E7</v>
      </c>
      <c r="AE37" s="4">
        <v>1.22148E8</v>
      </c>
      <c r="AF37" s="4">
        <v>3.287E7</v>
      </c>
      <c r="AG37" s="4">
        <v>3.0462E7</v>
      </c>
      <c r="AH37" s="4">
        <v>4.1348E7</v>
      </c>
      <c r="AI37" s="4">
        <v>1.08948E8</v>
      </c>
      <c r="AJ37" s="4">
        <v>5.94E7</v>
      </c>
      <c r="AK37" s="4">
        <v>3.3215E7</v>
      </c>
      <c r="AL37" s="4">
        <v>2.3922E7</v>
      </c>
      <c r="AM37" s="4">
        <v>1.21277E8</v>
      </c>
      <c r="AN37" s="4">
        <v>5.9148E7</v>
      </c>
      <c r="AO37" s="4">
        <v>639000.0</v>
      </c>
      <c r="AP37" s="4">
        <v>1.798E7</v>
      </c>
      <c r="AQ37" s="4">
        <v>7.054E7</v>
      </c>
      <c r="AR37" s="4">
        <v>1.84716E8</v>
      </c>
      <c r="AS37" s="4">
        <v>997000.0</v>
      </c>
      <c r="AT37" s="4">
        <v>665000.0</v>
      </c>
      <c r="AU37" s="4">
        <v>5.0355E7</v>
      </c>
      <c r="AV37" s="4">
        <v>1.52381E8</v>
      </c>
      <c r="AW37" s="4">
        <v>1111000.0</v>
      </c>
      <c r="AX37" s="4">
        <v>810000.0</v>
      </c>
      <c r="AY37" s="4">
        <v>3.2217E7</v>
      </c>
      <c r="AZ37" s="4">
        <v>2.598E7</v>
      </c>
      <c r="BA37" s="4">
        <v>1.4068E7</v>
      </c>
      <c r="BB37" s="4">
        <v>1.4864E7</v>
      </c>
      <c r="BC37" s="4">
        <v>3.4686E7</v>
      </c>
      <c r="BD37" s="4">
        <v>4525000.0</v>
      </c>
      <c r="BE37" s="4">
        <v>3659000.0</v>
      </c>
      <c r="BF37" s="4">
        <v>1.9304E7</v>
      </c>
      <c r="BG37" s="4">
        <v>2.8034E7</v>
      </c>
      <c r="BH37" s="4">
        <v>7611000.0</v>
      </c>
      <c r="BI37" s="4">
        <v>1824000.0</v>
      </c>
      <c r="BJ37" s="4">
        <v>1744000.0</v>
      </c>
      <c r="BK37" s="4">
        <v>2924000.0</v>
      </c>
      <c r="BL37" s="4">
        <v>2999000.0</v>
      </c>
      <c r="BM37" s="4">
        <v>48000.0</v>
      </c>
      <c r="BN37" s="4">
        <v>1.5959E7</v>
      </c>
      <c r="BO37" s="4">
        <v>1.5826E7</v>
      </c>
      <c r="BP37" s="4">
        <v>9570000.0</v>
      </c>
      <c r="BQ37" s="4">
        <v>2.2027E7</v>
      </c>
      <c r="BR37" s="4">
        <v>4.3706E7</v>
      </c>
      <c r="BS37" s="4">
        <v>7452000.0</v>
      </c>
      <c r="BT37" s="4">
        <v>4.9504E7</v>
      </c>
      <c r="BU37" s="4">
        <v>5.4557E7</v>
      </c>
      <c r="BV37" s="4">
        <v>6.9616E7</v>
      </c>
      <c r="BW37" s="4">
        <v>2.1706E7</v>
      </c>
      <c r="BX37" s="4">
        <v>1.9466E7</v>
      </c>
      <c r="BY37" s="4">
        <v>3.8322E7</v>
      </c>
      <c r="BZ37" s="4">
        <v>4.5725E7</v>
      </c>
      <c r="CA37" s="4">
        <v>1.4553E7</v>
      </c>
      <c r="CB37" s="4">
        <v>9182000.0</v>
      </c>
      <c r="CC37" s="4">
        <v>3.6536E7</v>
      </c>
      <c r="CD37" s="4">
        <v>6.7091E7</v>
      </c>
      <c r="CH37" s="4">
        <v>1.0633E7</v>
      </c>
      <c r="CI37" s="4">
        <v>1.0492E7</v>
      </c>
      <c r="CJ37" s="1">
        <v>0.0</v>
      </c>
      <c r="CK37" s="4">
        <v>2.0122E7</v>
      </c>
      <c r="CL37" s="4">
        <v>1.7446E7</v>
      </c>
      <c r="CM37" s="4">
        <v>3946000.0</v>
      </c>
      <c r="CN37" s="1">
        <v>0.0</v>
      </c>
      <c r="CO37" s="4">
        <v>1.311E7</v>
      </c>
      <c r="CP37" s="4">
        <v>1.5135E7</v>
      </c>
      <c r="CT37" s="4">
        <v>2.3825E7</v>
      </c>
      <c r="CX37" s="4">
        <v>1.2343E7</v>
      </c>
      <c r="DB37" s="4">
        <v>1.0002E7</v>
      </c>
      <c r="DF37" s="4">
        <v>1.4757E7</v>
      </c>
      <c r="DJ37" s="4">
        <v>5210000.0</v>
      </c>
    </row>
    <row r="38">
      <c r="A38" s="1" t="s">
        <v>37</v>
      </c>
      <c r="B38" s="4">
        <v>7261000.0</v>
      </c>
      <c r="C38" s="4">
        <v>1.0999E7</v>
      </c>
      <c r="D38" s="4">
        <v>8919000.0</v>
      </c>
      <c r="E38" s="4">
        <v>8006000.0</v>
      </c>
      <c r="F38" s="4">
        <v>6773000.0</v>
      </c>
      <c r="G38" s="4">
        <v>9051000.0</v>
      </c>
      <c r="H38" s="4">
        <v>8055000.0</v>
      </c>
      <c r="I38" s="4">
        <v>1.1393E7</v>
      </c>
      <c r="J38" s="4">
        <v>8234000.0</v>
      </c>
      <c r="K38" s="4">
        <v>5.7953E7</v>
      </c>
      <c r="L38" s="4">
        <v>1.6063E7</v>
      </c>
      <c r="M38" s="4">
        <v>1.0713E7</v>
      </c>
      <c r="N38" s="4">
        <v>1.6246E7</v>
      </c>
      <c r="O38" s="4">
        <v>1.05865E8</v>
      </c>
      <c r="P38" s="4">
        <v>8362000.0</v>
      </c>
      <c r="Q38" s="4">
        <v>3341000.0</v>
      </c>
      <c r="R38" s="4">
        <v>3310000.0</v>
      </c>
      <c r="S38" s="4">
        <v>4.8787E7</v>
      </c>
      <c r="T38" s="4">
        <v>1.0033E7</v>
      </c>
      <c r="U38" s="4">
        <v>4837000.0</v>
      </c>
      <c r="V38" s="4">
        <v>7250000.0</v>
      </c>
      <c r="W38" s="4">
        <v>9752000.0</v>
      </c>
      <c r="X38" s="4">
        <v>4104000.0</v>
      </c>
      <c r="Y38" s="4">
        <v>4646000.0</v>
      </c>
      <c r="Z38" s="4">
        <v>3658000.0</v>
      </c>
      <c r="AA38" s="4">
        <v>2.08972E8</v>
      </c>
      <c r="AB38" s="4">
        <v>6.3393E7</v>
      </c>
      <c r="AC38" s="4">
        <v>5721000.0</v>
      </c>
      <c r="AD38" s="4">
        <v>2.266E7</v>
      </c>
      <c r="AE38" s="4">
        <v>1.22148E8</v>
      </c>
      <c r="AF38" s="4">
        <v>3.287E7</v>
      </c>
      <c r="AG38" s="4">
        <v>3.0462E7</v>
      </c>
      <c r="AH38" s="4">
        <v>4.1348E7</v>
      </c>
      <c r="AI38" s="4">
        <v>1.08948E8</v>
      </c>
      <c r="AJ38" s="4">
        <v>5.94E7</v>
      </c>
      <c r="AK38" s="4">
        <v>3.3215E7</v>
      </c>
      <c r="AL38" s="4">
        <v>2.3922E7</v>
      </c>
      <c r="AM38" s="4">
        <v>1.21277E8</v>
      </c>
      <c r="AN38" s="4">
        <v>5.9148E7</v>
      </c>
      <c r="AO38" s="4">
        <v>639000.0</v>
      </c>
      <c r="AP38" s="4">
        <v>1.798E7</v>
      </c>
      <c r="AQ38" s="4">
        <v>7.054E7</v>
      </c>
      <c r="AR38" s="4">
        <v>9.5387E7</v>
      </c>
      <c r="AS38" s="4">
        <v>997000.0</v>
      </c>
      <c r="AT38" s="4">
        <v>665000.0</v>
      </c>
      <c r="AU38" s="4">
        <v>5.0355E7</v>
      </c>
      <c r="AV38" s="4">
        <v>4.4428E7</v>
      </c>
      <c r="AW38" s="4">
        <v>1111000.0</v>
      </c>
      <c r="AX38" s="4">
        <v>810000.0</v>
      </c>
      <c r="AY38" s="4">
        <v>3.2217E7</v>
      </c>
      <c r="AZ38" s="4">
        <v>2.598E7</v>
      </c>
      <c r="BA38" s="4">
        <v>1.4068E7</v>
      </c>
      <c r="BB38" s="4">
        <v>1.4864E7</v>
      </c>
      <c r="BC38" s="4">
        <v>3.4686E7</v>
      </c>
      <c r="BD38" s="4">
        <v>4525000.0</v>
      </c>
      <c r="BE38" s="4">
        <v>3659000.0</v>
      </c>
      <c r="BF38" s="4">
        <v>1.9304E7</v>
      </c>
      <c r="BG38" s="4">
        <v>2.8034E7</v>
      </c>
      <c r="BH38" s="4">
        <v>7611000.0</v>
      </c>
      <c r="BI38" s="4">
        <v>1824000.0</v>
      </c>
      <c r="BJ38" s="4">
        <v>1744000.0</v>
      </c>
      <c r="BK38" s="4">
        <v>2924000.0</v>
      </c>
      <c r="BL38" s="4">
        <v>2999000.0</v>
      </c>
      <c r="BM38" s="4">
        <v>48000.0</v>
      </c>
      <c r="BN38" s="4">
        <v>1.5959E7</v>
      </c>
      <c r="BO38" s="4">
        <v>1.5826E7</v>
      </c>
      <c r="BP38" s="4">
        <v>9570000.0</v>
      </c>
      <c r="BQ38" s="4">
        <v>2.2027E7</v>
      </c>
      <c r="BR38" s="4">
        <v>4.3706E7</v>
      </c>
      <c r="BS38" s="4">
        <v>7452000.0</v>
      </c>
      <c r="BT38" s="4">
        <v>4.9504E7</v>
      </c>
      <c r="BU38" s="4">
        <v>5.4557E7</v>
      </c>
      <c r="BV38" s="4">
        <v>6.9616E7</v>
      </c>
      <c r="BW38" s="4">
        <v>2.1706E7</v>
      </c>
      <c r="BX38" s="4">
        <v>1.9466E7</v>
      </c>
      <c r="BY38" s="4">
        <v>3.8322E7</v>
      </c>
      <c r="BZ38" s="4">
        <v>4.5725E7</v>
      </c>
      <c r="CA38" s="4">
        <v>1.4553E7</v>
      </c>
      <c r="CB38" s="4">
        <v>9182000.0</v>
      </c>
      <c r="CC38" s="4">
        <v>3.6536E7</v>
      </c>
      <c r="CD38" s="4">
        <v>6.7091E7</v>
      </c>
      <c r="CH38" s="4">
        <v>1.0633E7</v>
      </c>
      <c r="CI38" s="4">
        <v>1.0492E7</v>
      </c>
      <c r="CJ38" s="1">
        <v>0.0</v>
      </c>
      <c r="CK38" s="4">
        <v>2.0122E7</v>
      </c>
      <c r="CL38" s="4">
        <v>1.7446E7</v>
      </c>
      <c r="CM38" s="4">
        <v>3946000.0</v>
      </c>
      <c r="CN38" s="1">
        <v>0.0</v>
      </c>
      <c r="CO38" s="4">
        <v>1.311E7</v>
      </c>
      <c r="CP38" s="4">
        <v>1.5135E7</v>
      </c>
      <c r="CT38" s="4">
        <v>2.3825E7</v>
      </c>
      <c r="CX38" s="4">
        <v>1.2343E7</v>
      </c>
      <c r="DB38" s="4">
        <v>1.0002E7</v>
      </c>
      <c r="DF38" s="4">
        <v>1.4757E7</v>
      </c>
      <c r="DJ38" s="4">
        <v>5210000.0</v>
      </c>
    </row>
    <row r="39">
      <c r="A39" s="1" t="s">
        <v>38</v>
      </c>
      <c r="CE39" s="4">
        <v>200000.0</v>
      </c>
      <c r="CG39" s="4">
        <v>1.61E8</v>
      </c>
      <c r="CH39" s="4">
        <v>1.62E8</v>
      </c>
      <c r="CI39" s="4">
        <v>1.62E8</v>
      </c>
    </row>
    <row r="40">
      <c r="A40" s="1" t="s">
        <v>39</v>
      </c>
      <c r="B40" s="4">
        <v>1.013594E9</v>
      </c>
      <c r="C40" s="4">
        <v>8.48757E8</v>
      </c>
      <c r="D40" s="4">
        <v>1.036919E9</v>
      </c>
      <c r="E40" s="4">
        <v>1.110505E9</v>
      </c>
      <c r="F40" s="4">
        <v>1.069926E9</v>
      </c>
      <c r="G40" s="4">
        <v>9.3026E8</v>
      </c>
      <c r="H40" s="4">
        <v>1.049139E9</v>
      </c>
      <c r="I40" s="4">
        <v>1.039222E9</v>
      </c>
      <c r="J40" s="4">
        <v>9.73025E8</v>
      </c>
      <c r="K40" s="4">
        <v>8.61653E8</v>
      </c>
      <c r="L40" s="4">
        <v>1.006552E9</v>
      </c>
      <c r="M40" s="4">
        <v>1.060602E9</v>
      </c>
      <c r="N40" s="4">
        <v>9.78567E8</v>
      </c>
      <c r="O40" s="4">
        <v>7.91368E8</v>
      </c>
      <c r="P40" s="4">
        <v>7.09156E8</v>
      </c>
      <c r="Q40" s="4">
        <v>7.17467E8</v>
      </c>
      <c r="R40" s="4">
        <v>6.66251E8</v>
      </c>
      <c r="S40" s="4">
        <v>5.60007E8</v>
      </c>
      <c r="T40" s="4">
        <v>6.18405E8</v>
      </c>
      <c r="U40" s="4">
        <v>6.38644E8</v>
      </c>
      <c r="V40" s="4">
        <v>6.11389E8</v>
      </c>
      <c r="W40" s="4">
        <v>4.95371E8</v>
      </c>
      <c r="X40" s="4">
        <v>5.49658E8</v>
      </c>
      <c r="Y40" s="4">
        <v>5.53596E8</v>
      </c>
      <c r="Z40" s="4">
        <v>5.21027E8</v>
      </c>
      <c r="AA40" s="4">
        <v>4.59105E8</v>
      </c>
      <c r="AB40" s="4">
        <v>5.00866E8</v>
      </c>
      <c r="AC40" s="4">
        <v>5.04427E8</v>
      </c>
      <c r="AD40" s="4">
        <v>4.74426E8</v>
      </c>
      <c r="AE40" s="4">
        <v>4.40697E8</v>
      </c>
      <c r="AF40" s="4">
        <v>4.67122E8</v>
      </c>
      <c r="AG40" s="4">
        <v>4.73528E8</v>
      </c>
      <c r="AH40" s="4">
        <v>4.43164E8</v>
      </c>
      <c r="AI40" s="4">
        <v>3.93507E8</v>
      </c>
      <c r="AJ40" s="4">
        <v>4.1376E8</v>
      </c>
      <c r="AK40" s="4">
        <v>4.42859E8</v>
      </c>
      <c r="AL40" s="4">
        <v>4.27269E8</v>
      </c>
      <c r="AM40" s="4">
        <v>3.94827E8</v>
      </c>
      <c r="AN40" s="4">
        <v>3.68578E8</v>
      </c>
      <c r="AO40" s="4">
        <v>4.14881E8</v>
      </c>
      <c r="AP40" s="4">
        <v>4.12854E8</v>
      </c>
      <c r="AQ40" s="4">
        <v>3.59038E8</v>
      </c>
      <c r="AR40" s="4">
        <v>1.91128E8</v>
      </c>
      <c r="AS40" s="4">
        <v>3.92439E8</v>
      </c>
      <c r="AT40" s="4">
        <v>3.66271E8</v>
      </c>
      <c r="AU40" s="4">
        <v>3.60349E8</v>
      </c>
      <c r="AV40" s="4">
        <v>2.12133E8</v>
      </c>
      <c r="AW40" s="4">
        <v>4.14977E8</v>
      </c>
      <c r="AX40" s="4">
        <v>3.66623E8</v>
      </c>
      <c r="AY40" s="4">
        <v>3.80422E8</v>
      </c>
      <c r="AZ40" s="4">
        <v>3.47741E8</v>
      </c>
      <c r="BA40" s="4">
        <v>3.7875E8</v>
      </c>
      <c r="BB40" s="4">
        <v>3.21672E8</v>
      </c>
      <c r="BC40" s="4">
        <v>3.32251E8</v>
      </c>
      <c r="BD40" s="4">
        <v>3.4229E8</v>
      </c>
      <c r="BE40" s="4">
        <v>3.81346E8</v>
      </c>
      <c r="BF40" s="4">
        <v>3.04384E8</v>
      </c>
      <c r="BG40" s="4">
        <v>3.32722E8</v>
      </c>
      <c r="BH40" s="4">
        <v>3.75045E8</v>
      </c>
      <c r="BI40" s="4">
        <v>4.39583E8</v>
      </c>
      <c r="BJ40" s="4">
        <v>3.41728E8</v>
      </c>
      <c r="BK40" s="4">
        <v>3.56915E8</v>
      </c>
      <c r="BL40" s="4">
        <v>3.00956E8</v>
      </c>
      <c r="BM40" s="4">
        <v>2.5809E8</v>
      </c>
      <c r="BN40" s="4">
        <v>2.53558E8</v>
      </c>
      <c r="BO40" s="4">
        <v>4.06761E8</v>
      </c>
      <c r="BP40" s="4">
        <v>3.87869E8</v>
      </c>
      <c r="BQ40" s="4">
        <v>3.79218E8</v>
      </c>
      <c r="BR40" s="4">
        <v>3.7292E8</v>
      </c>
      <c r="BS40" s="4">
        <v>3.72537E8</v>
      </c>
      <c r="BT40" s="4">
        <v>3.47606E8</v>
      </c>
      <c r="BU40" s="4">
        <v>3.22742E8</v>
      </c>
      <c r="BV40" s="4">
        <v>3.33889E8</v>
      </c>
      <c r="BW40" s="4">
        <v>3.36408E8</v>
      </c>
      <c r="BX40" s="4">
        <v>3.04962E8</v>
      </c>
      <c r="BY40" s="4">
        <v>2.88028E8</v>
      </c>
      <c r="BZ40" s="4">
        <v>2.97616E8</v>
      </c>
      <c r="CA40" s="4">
        <v>2.87724E8</v>
      </c>
      <c r="CB40" s="4">
        <v>2.55027E8</v>
      </c>
      <c r="CC40" s="4">
        <v>2.30288E8</v>
      </c>
      <c r="CD40" s="4">
        <v>2.39898E8</v>
      </c>
      <c r="CE40" s="4">
        <v>2.46815E8</v>
      </c>
      <c r="CF40" s="4">
        <v>2.1922E8</v>
      </c>
      <c r="CG40" s="4">
        <v>2.1259E8</v>
      </c>
      <c r="CH40" s="4">
        <v>2.4278E8</v>
      </c>
      <c r="CI40" s="4">
        <v>2.23508E8</v>
      </c>
      <c r="CJ40" s="4">
        <v>2.14133E8</v>
      </c>
      <c r="CK40" s="4">
        <v>2.00683E8</v>
      </c>
      <c r="CL40" s="4">
        <v>2.14192E8</v>
      </c>
      <c r="CM40" s="4">
        <v>1.22451E8</v>
      </c>
      <c r="CN40" s="4">
        <v>1.2142E8</v>
      </c>
      <c r="CO40" s="4">
        <v>1.14654E8</v>
      </c>
      <c r="CP40" s="4">
        <v>1.21375E8</v>
      </c>
      <c r="CT40" s="4">
        <v>1.72825E8</v>
      </c>
      <c r="CX40" s="4">
        <v>9.2027E7</v>
      </c>
      <c r="DB40" s="4">
        <v>7.0441E7</v>
      </c>
      <c r="DF40" s="4">
        <v>6.2099E7</v>
      </c>
      <c r="DJ40" s="4">
        <v>6.1037E7</v>
      </c>
    </row>
    <row r="41">
      <c r="A41" s="1" t="s">
        <v>40</v>
      </c>
      <c r="D41" s="4">
        <v>1.36911E8</v>
      </c>
      <c r="H41" s="4">
        <v>1.27719E8</v>
      </c>
      <c r="L41" s="4">
        <v>1.10321E8</v>
      </c>
      <c r="P41" s="4">
        <v>1.09291E8</v>
      </c>
      <c r="T41" s="4">
        <v>1.0738E8</v>
      </c>
    </row>
    <row r="42">
      <c r="A42" s="1" t="s">
        <v>41</v>
      </c>
      <c r="D42" s="4">
        <v>2.14472E8</v>
      </c>
      <c r="H42" s="4">
        <v>2.15355E8</v>
      </c>
      <c r="L42" s="4">
        <v>2.69032E8</v>
      </c>
      <c r="P42" s="4">
        <v>1.35492E8</v>
      </c>
      <c r="T42" s="4">
        <v>1.21375E8</v>
      </c>
      <c r="X42" s="4">
        <v>1.18755E8</v>
      </c>
      <c r="AB42" s="4">
        <v>9.1243E7</v>
      </c>
      <c r="AF42" s="4">
        <v>1.11191E8</v>
      </c>
      <c r="AJ42" s="4">
        <v>7.8645E7</v>
      </c>
      <c r="AN42" s="4">
        <v>4.7909E7</v>
      </c>
      <c r="AR42" s="4">
        <v>7.6981E7</v>
      </c>
      <c r="AV42" s="4">
        <v>7.6989E7</v>
      </c>
    </row>
    <row r="43">
      <c r="A43" s="1" t="s">
        <v>42</v>
      </c>
      <c r="B43" s="4">
        <v>1.331433E9</v>
      </c>
      <c r="C43" s="4">
        <v>1.561753E9</v>
      </c>
      <c r="D43" s="4">
        <v>1.288939E9</v>
      </c>
      <c r="E43" s="4">
        <v>1.25706E9</v>
      </c>
      <c r="F43" s="4">
        <v>2.131699E9</v>
      </c>
      <c r="G43" s="4">
        <v>2.105678E9</v>
      </c>
      <c r="H43" s="4">
        <v>1.183559E9</v>
      </c>
      <c r="I43" s="4">
        <v>1.157245E9</v>
      </c>
      <c r="J43" s="4">
        <v>1.127841E9</v>
      </c>
      <c r="K43" s="4">
        <v>1.101369E9</v>
      </c>
      <c r="L43" s="4">
        <v>1.074079E9</v>
      </c>
      <c r="M43" s="4">
        <v>1.044368E9</v>
      </c>
      <c r="N43" s="4">
        <v>1.015733E9</v>
      </c>
      <c r="O43" s="4">
        <v>9.91634E8</v>
      </c>
      <c r="P43" s="4">
        <v>9.6536E8</v>
      </c>
      <c r="Q43" s="4">
        <v>9.41059E8</v>
      </c>
      <c r="R43" s="4">
        <v>9.1563E8</v>
      </c>
      <c r="S43" s="4">
        <v>8.95024E8</v>
      </c>
      <c r="T43" s="4">
        <v>1950000.0</v>
      </c>
      <c r="U43" s="4">
        <v>1929000.0</v>
      </c>
      <c r="V43" s="4">
        <v>1909000.0</v>
      </c>
      <c r="W43" s="4">
        <v>1889000.0</v>
      </c>
      <c r="X43" s="4">
        <v>4.01345E8</v>
      </c>
      <c r="Y43" s="4">
        <v>4.01532E8</v>
      </c>
      <c r="Z43" s="4">
        <v>4.01402E8</v>
      </c>
      <c r="AA43" s="4">
        <v>4.01188E8</v>
      </c>
      <c r="AB43" s="4">
        <v>5.0095E8</v>
      </c>
      <c r="AC43" s="4">
        <v>5.0148E8</v>
      </c>
      <c r="AD43" s="4">
        <v>5.01548E8</v>
      </c>
      <c r="AE43" s="4">
        <v>1526000.0</v>
      </c>
      <c r="AF43" s="4">
        <v>1379000.0</v>
      </c>
      <c r="AG43" s="4">
        <v>1358000.0</v>
      </c>
      <c r="AH43" s="4">
        <v>1.01335E8</v>
      </c>
      <c r="AI43" s="4">
        <v>1.01309E8</v>
      </c>
      <c r="AJ43" s="4">
        <v>1.01158E8</v>
      </c>
      <c r="AK43" s="4">
        <v>1.01041E8</v>
      </c>
      <c r="AL43" s="4">
        <v>1.01013E8</v>
      </c>
      <c r="AM43" s="4">
        <v>1.00989E8</v>
      </c>
      <c r="AN43" s="4">
        <v>7.5966E7</v>
      </c>
      <c r="AO43" s="4">
        <v>5.0945E7</v>
      </c>
      <c r="AP43" s="4">
        <v>2.5927E7</v>
      </c>
      <c r="AQ43" s="4">
        <v>909000.0</v>
      </c>
      <c r="AR43" s="4">
        <v>892000.0</v>
      </c>
      <c r="AS43" s="4">
        <v>891000.0</v>
      </c>
      <c r="AT43" s="4">
        <v>344000.0</v>
      </c>
      <c r="AU43" s="4">
        <v>459000.0</v>
      </c>
      <c r="AV43" s="4">
        <v>590000.0</v>
      </c>
      <c r="AW43" s="4">
        <v>763000.0</v>
      </c>
      <c r="AX43" s="4">
        <v>963000.0</v>
      </c>
      <c r="AY43" s="4">
        <v>1039000.0</v>
      </c>
      <c r="AZ43" s="4">
        <v>1157000.0</v>
      </c>
      <c r="BA43" s="4">
        <v>1358000.0</v>
      </c>
      <c r="BB43" s="4">
        <v>1595000.0</v>
      </c>
      <c r="BC43" s="4">
        <v>3547000.0</v>
      </c>
      <c r="BD43" s="4">
        <v>3671000.0</v>
      </c>
      <c r="BE43" s="4">
        <v>2.6762E7</v>
      </c>
      <c r="BF43" s="4">
        <v>2.6797E7</v>
      </c>
      <c r="BG43" s="4">
        <v>1.9526E7</v>
      </c>
      <c r="BH43" s="4">
        <v>1.4158E7</v>
      </c>
      <c r="BI43" s="4">
        <v>8455000.0</v>
      </c>
      <c r="BJ43" s="4">
        <v>2999000.0</v>
      </c>
      <c r="BK43" s="4">
        <v>2830000.0</v>
      </c>
      <c r="BL43" s="4">
        <v>3246000.0</v>
      </c>
      <c r="BM43" s="4">
        <v>7186000.0</v>
      </c>
      <c r="BN43" s="4">
        <v>8080000.0</v>
      </c>
      <c r="BO43" s="4">
        <v>8473000.0</v>
      </c>
      <c r="BP43" s="4">
        <v>9167000.0</v>
      </c>
      <c r="BQ43" s="4">
        <v>8800000.0</v>
      </c>
      <c r="BR43" s="4">
        <v>8785000.0</v>
      </c>
      <c r="BS43" s="4">
        <v>8864000.0</v>
      </c>
      <c r="BT43" s="4">
        <v>9561000.0</v>
      </c>
      <c r="BU43" s="4">
        <v>1.0737E7</v>
      </c>
      <c r="BV43" s="4">
        <v>1.286E7</v>
      </c>
      <c r="BW43" s="4">
        <v>1.4704E7</v>
      </c>
      <c r="BX43" s="4">
        <v>1.5956E7</v>
      </c>
      <c r="BY43" s="4">
        <v>1.688E7</v>
      </c>
      <c r="BZ43" s="4">
        <v>1.667E7</v>
      </c>
      <c r="CA43" s="4">
        <v>1.7295E7</v>
      </c>
      <c r="CB43" s="4">
        <v>1.6957E7</v>
      </c>
      <c r="CC43" s="4">
        <v>1.656E7</v>
      </c>
      <c r="CD43" s="4">
        <v>1.6209E7</v>
      </c>
      <c r="CE43" s="4">
        <v>1.5834E7</v>
      </c>
      <c r="CF43" s="4">
        <v>1.5132E7</v>
      </c>
      <c r="CG43" s="4">
        <v>3.95877E8</v>
      </c>
      <c r="CH43" s="4">
        <v>3.95675E8</v>
      </c>
      <c r="CI43" s="4">
        <v>3.91089E8</v>
      </c>
      <c r="CJ43" s="4">
        <v>7942000.0</v>
      </c>
      <c r="CK43" s="4">
        <v>7083000.0</v>
      </c>
      <c r="CL43" s="4">
        <v>9035000.0</v>
      </c>
      <c r="CM43" s="4">
        <v>6.4991E7</v>
      </c>
      <c r="CN43" s="4">
        <v>2.4326E7</v>
      </c>
      <c r="CO43" s="4">
        <v>1.82954E8</v>
      </c>
      <c r="CP43" s="4">
        <v>1233000.0</v>
      </c>
      <c r="CQ43" s="4">
        <v>1.813E8</v>
      </c>
      <c r="CR43" s="4">
        <v>1.499E8</v>
      </c>
      <c r="CS43" s="4">
        <v>1.143E8</v>
      </c>
      <c r="CT43" s="4">
        <v>725000.0</v>
      </c>
      <c r="CU43" s="4">
        <v>2.603E8</v>
      </c>
      <c r="CV43" s="4">
        <v>1.616E8</v>
      </c>
      <c r="CW43" s="4">
        <v>1.204E8</v>
      </c>
      <c r="CX43" s="4">
        <v>2.3383E7</v>
      </c>
      <c r="CY43" s="4">
        <v>1.952E8</v>
      </c>
      <c r="CZ43" s="4">
        <v>5.96E7</v>
      </c>
      <c r="DA43" s="4">
        <v>5.19E7</v>
      </c>
      <c r="DB43" s="4">
        <v>4.0499E7</v>
      </c>
      <c r="DC43" s="4">
        <v>1.868E8</v>
      </c>
      <c r="DD43" s="4">
        <v>7.66E7</v>
      </c>
      <c r="DE43" s="4">
        <v>1.065E8</v>
      </c>
      <c r="DF43" s="4">
        <v>7.3682E7</v>
      </c>
      <c r="DG43" s="4">
        <v>2.016E8</v>
      </c>
      <c r="DH43" s="4">
        <v>1.26E8</v>
      </c>
      <c r="DI43" s="4">
        <v>9.79E7</v>
      </c>
      <c r="DJ43" s="4">
        <v>3.1041E7</v>
      </c>
      <c r="DK43" s="4">
        <v>1.14E8</v>
      </c>
      <c r="DL43" s="4">
        <v>6.33E7</v>
      </c>
      <c r="DM43" s="4">
        <v>2.83E7</v>
      </c>
      <c r="DN43" s="4">
        <v>1.93E7</v>
      </c>
      <c r="DO43" s="4">
        <v>6.91E7</v>
      </c>
      <c r="DP43" s="4">
        <v>3.53E7</v>
      </c>
      <c r="DQ43" s="4">
        <v>2.63E7</v>
      </c>
      <c r="DR43" s="4">
        <v>1.13E7</v>
      </c>
      <c r="DS43" s="4">
        <v>5.83E7</v>
      </c>
      <c r="DT43" s="4">
        <v>1300000.0</v>
      </c>
      <c r="DU43" s="4">
        <v>1300000.0</v>
      </c>
      <c r="DV43" s="4">
        <v>1300000.0</v>
      </c>
      <c r="DW43" s="4">
        <v>1.03E7</v>
      </c>
      <c r="DX43" s="4">
        <v>1300000.0</v>
      </c>
      <c r="DY43" s="4">
        <v>1600000.0</v>
      </c>
      <c r="DZ43" s="4">
        <v>1600000.0</v>
      </c>
      <c r="EA43" s="4">
        <v>1.04E7</v>
      </c>
      <c r="EB43" s="4">
        <v>7800000.0</v>
      </c>
      <c r="EC43" s="4">
        <v>7800000.0</v>
      </c>
      <c r="ED43" s="4">
        <v>7800000.0</v>
      </c>
      <c r="EE43" s="4">
        <v>7800000.0</v>
      </c>
      <c r="EF43" s="4">
        <v>3800000.0</v>
      </c>
      <c r="EG43" s="4">
        <v>800000.0</v>
      </c>
      <c r="EH43" s="4">
        <v>1.63E7</v>
      </c>
      <c r="EI43" s="4">
        <v>6500000.0</v>
      </c>
      <c r="EJ43" s="4">
        <v>6500000.0</v>
      </c>
    </row>
    <row r="44">
      <c r="A44" s="1" t="s">
        <v>43</v>
      </c>
      <c r="C44" s="4">
        <v>2.5E8</v>
      </c>
      <c r="F44" s="4">
        <v>9.00635E8</v>
      </c>
      <c r="G44" s="4">
        <v>9.00635E8</v>
      </c>
      <c r="O44" s="4">
        <v>580000.0</v>
      </c>
      <c r="P44" s="4">
        <v>555000.0</v>
      </c>
      <c r="Q44" s="4">
        <v>555000.0</v>
      </c>
      <c r="R44" s="4">
        <v>555000.0</v>
      </c>
      <c r="S44" s="4">
        <v>555000.0</v>
      </c>
      <c r="T44" s="4">
        <v>1950000.0</v>
      </c>
      <c r="U44" s="4">
        <v>1929000.0</v>
      </c>
      <c r="V44" s="4">
        <v>1909000.0</v>
      </c>
      <c r="W44" s="4">
        <v>1889000.0</v>
      </c>
      <c r="X44" s="4">
        <v>4.01345E8</v>
      </c>
      <c r="Y44" s="4">
        <v>4.01532E8</v>
      </c>
      <c r="Z44" s="4">
        <v>4.01402E8</v>
      </c>
      <c r="AA44" s="4">
        <v>4.01188E8</v>
      </c>
      <c r="AB44" s="4">
        <v>5.0095E8</v>
      </c>
      <c r="AC44" s="4">
        <v>5.0148E8</v>
      </c>
      <c r="AD44" s="4">
        <v>5.01548E8</v>
      </c>
      <c r="AE44" s="4">
        <v>1526000.0</v>
      </c>
      <c r="AF44" s="4">
        <v>1379000.0</v>
      </c>
      <c r="AG44" s="4">
        <v>1358000.0</v>
      </c>
      <c r="AH44" s="4">
        <v>1.01335E8</v>
      </c>
      <c r="AI44" s="4">
        <v>1.01309E8</v>
      </c>
      <c r="AJ44" s="4">
        <v>1.01158E8</v>
      </c>
      <c r="AK44" s="4">
        <v>1.01041E8</v>
      </c>
      <c r="AL44" s="4">
        <v>1.01013E8</v>
      </c>
      <c r="AM44" s="4">
        <v>1.00989E8</v>
      </c>
      <c r="AN44" s="4">
        <v>7.5966E7</v>
      </c>
      <c r="AO44" s="4">
        <v>5.0945E7</v>
      </c>
      <c r="AP44" s="4">
        <v>2.5927E7</v>
      </c>
      <c r="AQ44" s="4">
        <v>909000.0</v>
      </c>
      <c r="AR44" s="4">
        <v>892000.0</v>
      </c>
      <c r="AS44" s="4">
        <v>891000.0</v>
      </c>
      <c r="AT44" s="4">
        <v>344000.0</v>
      </c>
      <c r="AU44" s="4">
        <v>459000.0</v>
      </c>
      <c r="AV44" s="4">
        <v>590000.0</v>
      </c>
      <c r="AW44" s="4">
        <v>763000.0</v>
      </c>
      <c r="AX44" s="4">
        <v>963000.0</v>
      </c>
      <c r="AY44" s="4">
        <v>1039000.0</v>
      </c>
      <c r="AZ44" s="4">
        <v>1157000.0</v>
      </c>
      <c r="BA44" s="4">
        <v>1358000.0</v>
      </c>
      <c r="BB44" s="4">
        <v>1595000.0</v>
      </c>
      <c r="BC44" s="4">
        <v>3547000.0</v>
      </c>
      <c r="BD44" s="4">
        <v>3671000.0</v>
      </c>
      <c r="BE44" s="4">
        <v>2.6762E7</v>
      </c>
      <c r="BF44" s="4">
        <v>2.6797E7</v>
      </c>
      <c r="BG44" s="4">
        <v>1.9526E7</v>
      </c>
      <c r="BH44" s="4">
        <v>1.4158E7</v>
      </c>
      <c r="BI44" s="4">
        <v>8455000.0</v>
      </c>
      <c r="BJ44" s="4">
        <v>2999000.0</v>
      </c>
      <c r="BK44" s="4">
        <v>2830000.0</v>
      </c>
      <c r="BL44" s="4">
        <v>3246000.0</v>
      </c>
      <c r="BM44" s="4">
        <v>7186000.0</v>
      </c>
      <c r="BN44" s="4">
        <v>8080000.0</v>
      </c>
      <c r="BO44" s="4">
        <v>8473000.0</v>
      </c>
      <c r="BP44" s="4">
        <v>9167000.0</v>
      </c>
      <c r="BQ44" s="4">
        <v>8800000.0</v>
      </c>
      <c r="BR44" s="4">
        <v>8785000.0</v>
      </c>
      <c r="BS44" s="4">
        <v>8864000.0</v>
      </c>
      <c r="BT44" s="4">
        <v>9561000.0</v>
      </c>
      <c r="BU44" s="4">
        <v>1.0737E7</v>
      </c>
      <c r="BV44" s="4">
        <v>1.286E7</v>
      </c>
      <c r="BW44" s="4">
        <v>1.4704E7</v>
      </c>
      <c r="BX44" s="4">
        <v>1.5956E7</v>
      </c>
      <c r="BY44" s="4">
        <v>1.688E7</v>
      </c>
      <c r="BZ44" s="4">
        <v>1.667E7</v>
      </c>
      <c r="CA44" s="4">
        <v>1.7295E7</v>
      </c>
      <c r="CB44" s="4">
        <v>1.6957E7</v>
      </c>
      <c r="CC44" s="4">
        <v>1.656E7</v>
      </c>
      <c r="CD44" s="4">
        <v>1.6209E7</v>
      </c>
      <c r="CE44" s="4">
        <v>1.5834E7</v>
      </c>
      <c r="CF44" s="4">
        <v>1.5132E7</v>
      </c>
      <c r="CG44" s="4">
        <v>3.95877E8</v>
      </c>
      <c r="CH44" s="4">
        <v>3.95675E8</v>
      </c>
      <c r="CI44" s="4">
        <v>3.91089E8</v>
      </c>
      <c r="CJ44" s="4">
        <v>7942000.0</v>
      </c>
      <c r="CK44" s="4">
        <v>7083000.0</v>
      </c>
      <c r="CL44" s="4">
        <v>9035000.0</v>
      </c>
      <c r="CM44" s="4">
        <v>6.4991E7</v>
      </c>
      <c r="CN44" s="4">
        <v>2.4326E7</v>
      </c>
      <c r="CO44" s="4">
        <v>1.82954E8</v>
      </c>
      <c r="CP44" s="4">
        <v>1233000.0</v>
      </c>
      <c r="CQ44" s="4">
        <v>1.813E8</v>
      </c>
      <c r="CR44" s="4">
        <v>1.499E8</v>
      </c>
      <c r="CS44" s="4">
        <v>1.143E8</v>
      </c>
      <c r="CT44" s="4">
        <v>725000.0</v>
      </c>
      <c r="CU44" s="4">
        <v>2.603E8</v>
      </c>
      <c r="CV44" s="4">
        <v>1.616E8</v>
      </c>
      <c r="CW44" s="4">
        <v>1.204E8</v>
      </c>
      <c r="CX44" s="4">
        <v>2.3383E7</v>
      </c>
      <c r="CY44" s="4">
        <v>1.952E8</v>
      </c>
      <c r="CZ44" s="4">
        <v>5.96E7</v>
      </c>
      <c r="DA44" s="4">
        <v>5.19E7</v>
      </c>
      <c r="DB44" s="4">
        <v>4.0499E7</v>
      </c>
      <c r="DC44" s="4">
        <v>1.868E8</v>
      </c>
      <c r="DD44" s="4">
        <v>7.66E7</v>
      </c>
      <c r="DE44" s="4">
        <v>1.065E8</v>
      </c>
      <c r="DF44" s="4">
        <v>7.3682E7</v>
      </c>
      <c r="DG44" s="4">
        <v>2.016E8</v>
      </c>
      <c r="DH44" s="4">
        <v>1.26E8</v>
      </c>
      <c r="DI44" s="4">
        <v>9.79E7</v>
      </c>
      <c r="DJ44" s="4">
        <v>3.1041E7</v>
      </c>
      <c r="DK44" s="4">
        <v>1.14E8</v>
      </c>
      <c r="DL44" s="4">
        <v>6.33E7</v>
      </c>
      <c r="DM44" s="4">
        <v>2.83E7</v>
      </c>
      <c r="DN44" s="4">
        <v>1.93E7</v>
      </c>
      <c r="DO44" s="4">
        <v>6.91E7</v>
      </c>
      <c r="DP44" s="4">
        <v>3.53E7</v>
      </c>
      <c r="DQ44" s="4">
        <v>2.63E7</v>
      </c>
      <c r="DR44" s="4">
        <v>1.13E7</v>
      </c>
      <c r="DS44" s="4">
        <v>5.83E7</v>
      </c>
      <c r="DT44" s="4">
        <v>1300000.0</v>
      </c>
      <c r="DU44" s="4">
        <v>1300000.0</v>
      </c>
      <c r="DV44" s="4">
        <v>1300000.0</v>
      </c>
      <c r="DW44" s="4">
        <v>1.03E7</v>
      </c>
      <c r="DX44" s="4">
        <v>1300000.0</v>
      </c>
      <c r="DY44" s="4">
        <v>1600000.0</v>
      </c>
      <c r="DZ44" s="4">
        <v>1600000.0</v>
      </c>
      <c r="EA44" s="4">
        <v>1.04E7</v>
      </c>
      <c r="EB44" s="4">
        <v>7800000.0</v>
      </c>
      <c r="EC44" s="4">
        <v>7800000.0</v>
      </c>
      <c r="ED44" s="4">
        <v>7800000.0</v>
      </c>
      <c r="EE44" s="4">
        <v>7800000.0</v>
      </c>
      <c r="EF44" s="4">
        <v>3800000.0</v>
      </c>
      <c r="EG44" s="4">
        <v>800000.0</v>
      </c>
      <c r="EH44" s="4">
        <v>1.63E7</v>
      </c>
      <c r="EI44" s="4">
        <v>6500000.0</v>
      </c>
      <c r="EJ44" s="4">
        <v>6500000.0</v>
      </c>
    </row>
    <row r="45">
      <c r="A45" s="1" t="s">
        <v>44</v>
      </c>
      <c r="C45" s="4">
        <v>2.5E8</v>
      </c>
      <c r="F45" s="4">
        <v>9.00635E8</v>
      </c>
      <c r="G45" s="4">
        <v>9.00635E8</v>
      </c>
      <c r="O45" s="4">
        <v>580000.0</v>
      </c>
      <c r="P45" s="4">
        <v>555000.0</v>
      </c>
      <c r="Q45" s="4">
        <v>555000.0</v>
      </c>
      <c r="R45" s="4">
        <v>555000.0</v>
      </c>
      <c r="S45" s="4">
        <v>555000.0</v>
      </c>
    </row>
    <row r="46">
      <c r="A46" s="1" t="s">
        <v>45</v>
      </c>
      <c r="B46" s="4">
        <v>1.331433E9</v>
      </c>
      <c r="C46" s="4">
        <v>1.311753E9</v>
      </c>
      <c r="D46" s="4">
        <v>1.288939E9</v>
      </c>
      <c r="E46" s="4">
        <v>1.25706E9</v>
      </c>
      <c r="F46" s="4">
        <v>1.231064E9</v>
      </c>
      <c r="G46" s="4">
        <v>1.205043E9</v>
      </c>
      <c r="H46" s="4">
        <v>1.183559E9</v>
      </c>
      <c r="I46" s="4">
        <v>1.157245E9</v>
      </c>
      <c r="J46" s="4">
        <v>1.127841E9</v>
      </c>
      <c r="K46" s="4">
        <v>1.101369E9</v>
      </c>
      <c r="L46" s="4">
        <v>1.074079E9</v>
      </c>
      <c r="M46" s="4">
        <v>1.044368E9</v>
      </c>
      <c r="N46" s="4">
        <v>1.015733E9</v>
      </c>
      <c r="O46" s="4">
        <v>9.91054E8</v>
      </c>
      <c r="P46" s="4">
        <v>9.64805E8</v>
      </c>
      <c r="Q46" s="4">
        <v>9.40504E8</v>
      </c>
      <c r="R46" s="4">
        <v>9.15075E8</v>
      </c>
      <c r="S46" s="4">
        <v>8.94469E8</v>
      </c>
    </row>
    <row r="47">
      <c r="A47" s="1" t="s">
        <v>46</v>
      </c>
      <c r="AG47" s="4">
        <v>1.6128E7</v>
      </c>
      <c r="AH47" s="4">
        <v>3.2306E7</v>
      </c>
      <c r="AI47" s="4">
        <v>3.3808E7</v>
      </c>
      <c r="AJ47" s="4">
        <v>2.5268E7</v>
      </c>
      <c r="AK47" s="4">
        <v>3.8858E7</v>
      </c>
      <c r="AL47" s="4">
        <v>2.1434E7</v>
      </c>
      <c r="AM47" s="4">
        <v>2.3545E7</v>
      </c>
      <c r="AN47" s="4">
        <v>2.1795E7</v>
      </c>
      <c r="AO47" s="4">
        <v>3.519E7</v>
      </c>
      <c r="AP47" s="4">
        <v>2.8573E7</v>
      </c>
      <c r="AQ47" s="4">
        <v>3.152E7</v>
      </c>
      <c r="AR47" s="4">
        <v>2.3223E7</v>
      </c>
      <c r="AS47" s="4">
        <v>3.9785E7</v>
      </c>
      <c r="AT47" s="4">
        <v>1.5546E7</v>
      </c>
      <c r="AU47" s="4">
        <v>1.4166E7</v>
      </c>
      <c r="AV47" s="4">
        <v>3722000.0</v>
      </c>
      <c r="AW47" s="4">
        <v>2.2826E7</v>
      </c>
      <c r="AX47" s="4">
        <v>3.5606E7</v>
      </c>
      <c r="AY47" s="4">
        <v>3.9842E7</v>
      </c>
      <c r="AZ47" s="4">
        <v>3.6854E7</v>
      </c>
      <c r="BA47" s="4">
        <v>4.4601E7</v>
      </c>
      <c r="BB47" s="4">
        <v>3.9287E7</v>
      </c>
      <c r="BC47" s="4">
        <v>4.6282E7</v>
      </c>
      <c r="BD47" s="4">
        <v>2.5061E7</v>
      </c>
      <c r="BE47" s="4">
        <v>4.6178E7</v>
      </c>
      <c r="BF47" s="4">
        <v>1.5032E7</v>
      </c>
      <c r="BG47" s="4">
        <v>1.1942E7</v>
      </c>
      <c r="BI47" s="4">
        <v>2.2669E7</v>
      </c>
      <c r="BN47" s="1">
        <v>0.0</v>
      </c>
    </row>
    <row r="48">
      <c r="A48" s="1" t="s">
        <v>47</v>
      </c>
      <c r="AG48" s="4">
        <v>1.6128E7</v>
      </c>
      <c r="AH48" s="4">
        <v>3.2306E7</v>
      </c>
      <c r="AI48" s="4">
        <v>3.3808E7</v>
      </c>
      <c r="AJ48" s="4">
        <v>2.5268E7</v>
      </c>
      <c r="AK48" s="4">
        <v>3.8858E7</v>
      </c>
      <c r="AL48" s="4">
        <v>2.1434E7</v>
      </c>
      <c r="AM48" s="4">
        <v>2.3545E7</v>
      </c>
      <c r="AN48" s="4">
        <v>2.1795E7</v>
      </c>
      <c r="AO48" s="4">
        <v>3.519E7</v>
      </c>
      <c r="AP48" s="4">
        <v>2.8573E7</v>
      </c>
      <c r="AQ48" s="4">
        <v>3.152E7</v>
      </c>
      <c r="AR48" s="4">
        <v>2.3223E7</v>
      </c>
      <c r="AS48" s="4">
        <v>3.9785E7</v>
      </c>
      <c r="AT48" s="4">
        <v>1.5546E7</v>
      </c>
      <c r="AU48" s="4">
        <v>1.4166E7</v>
      </c>
      <c r="AV48" s="4">
        <v>3722000.0</v>
      </c>
      <c r="AW48" s="4">
        <v>2.2826E7</v>
      </c>
      <c r="AX48" s="4">
        <v>3.5606E7</v>
      </c>
      <c r="AY48" s="4">
        <v>3.9842E7</v>
      </c>
      <c r="AZ48" s="4">
        <v>3.6854E7</v>
      </c>
      <c r="BA48" s="4">
        <v>4.4601E7</v>
      </c>
      <c r="BB48" s="4">
        <v>3.9287E7</v>
      </c>
      <c r="BC48" s="4">
        <v>4.6282E7</v>
      </c>
      <c r="BD48" s="4">
        <v>2.5061E7</v>
      </c>
      <c r="BE48" s="4">
        <v>4.6178E7</v>
      </c>
      <c r="BF48" s="4">
        <v>1.5032E7</v>
      </c>
      <c r="BG48" s="4">
        <v>1.1942E7</v>
      </c>
      <c r="BI48" s="4">
        <v>2.2669E7</v>
      </c>
      <c r="BN48" s="1">
        <v>0.0</v>
      </c>
    </row>
    <row r="49">
      <c r="A49" s="1" t="s">
        <v>48</v>
      </c>
      <c r="CQ49" s="4">
        <v>1.446E8</v>
      </c>
      <c r="CR49" s="4">
        <v>1.255E8</v>
      </c>
      <c r="CS49" s="4">
        <v>1.517E8</v>
      </c>
      <c r="CU49" s="4">
        <v>9.34E7</v>
      </c>
      <c r="CV49" s="4">
        <v>1.094E8</v>
      </c>
      <c r="CW49" s="4">
        <v>9.83E7</v>
      </c>
      <c r="CY49" s="4">
        <v>8.99E7</v>
      </c>
      <c r="CZ49" s="4">
        <v>7.55E7</v>
      </c>
      <c r="DA49" s="4">
        <v>6.24E7</v>
      </c>
      <c r="DC49" s="4">
        <v>7.28E7</v>
      </c>
      <c r="DD49" s="4">
        <v>6.68E7</v>
      </c>
      <c r="DE49" s="4">
        <v>6.45E7</v>
      </c>
      <c r="DG49" s="4">
        <v>6.57E7</v>
      </c>
      <c r="DH49" s="4">
        <v>5.65E7</v>
      </c>
      <c r="DI49" s="4">
        <v>5.96E7</v>
      </c>
      <c r="DK49" s="4">
        <v>5.86E7</v>
      </c>
      <c r="DL49" s="4">
        <v>4.94E7</v>
      </c>
      <c r="DM49" s="4">
        <v>4.65E7</v>
      </c>
      <c r="DN49" s="4">
        <v>4.79E7</v>
      </c>
      <c r="DO49" s="4">
        <v>4.55E7</v>
      </c>
      <c r="DP49" s="4">
        <v>4.26E7</v>
      </c>
      <c r="DQ49" s="4">
        <v>4.31E7</v>
      </c>
      <c r="DR49" s="4">
        <v>4.17E7</v>
      </c>
      <c r="DS49" s="4">
        <v>3.5E7</v>
      </c>
      <c r="DT49" s="4">
        <v>3.05E7</v>
      </c>
      <c r="DU49" s="4">
        <v>2.53E7</v>
      </c>
      <c r="DV49" s="4">
        <v>2.33E7</v>
      </c>
      <c r="DW49" s="4">
        <v>2.19E7</v>
      </c>
      <c r="DX49" s="4">
        <v>2.08E7</v>
      </c>
      <c r="DY49" s="4">
        <v>1.74E7</v>
      </c>
      <c r="DZ49" s="4">
        <v>2.2E7</v>
      </c>
      <c r="EA49" s="4">
        <v>1.78E7</v>
      </c>
      <c r="EB49" s="4">
        <v>1.65E7</v>
      </c>
      <c r="EC49" s="4">
        <v>1.5E7</v>
      </c>
      <c r="ED49" s="4">
        <v>1.52E7</v>
      </c>
      <c r="EE49" s="4">
        <v>1.45E7</v>
      </c>
      <c r="EF49" s="4">
        <v>1.37E7</v>
      </c>
      <c r="EG49" s="4">
        <v>5.16E7</v>
      </c>
      <c r="EH49" s="4">
        <v>4.51E7</v>
      </c>
      <c r="EI49" s="4">
        <v>5.87E7</v>
      </c>
      <c r="EJ49" s="4">
        <v>4.37E7</v>
      </c>
    </row>
    <row r="50">
      <c r="A50" s="1" t="s">
        <v>49</v>
      </c>
      <c r="B50" s="4">
        <v>1.806393E10</v>
      </c>
      <c r="C50" s="4">
        <v>1.7768003E10</v>
      </c>
      <c r="D50" s="4">
        <v>1.7653827E10</v>
      </c>
      <c r="E50" s="4">
        <v>1.6410705E10</v>
      </c>
      <c r="F50" s="4">
        <v>1.4483979E10</v>
      </c>
      <c r="G50" s="4">
        <v>1.4042843E10</v>
      </c>
      <c r="H50" s="4">
        <v>1.4086028E10</v>
      </c>
      <c r="I50" s="4">
        <v>1.3995002E10</v>
      </c>
      <c r="J50" s="4">
        <v>1.3871589E10</v>
      </c>
      <c r="K50" s="4">
        <v>1.3671375E10</v>
      </c>
      <c r="L50" s="4">
        <v>1.3490603E10</v>
      </c>
      <c r="M50" s="4">
        <v>1.3281712E10</v>
      </c>
      <c r="N50" s="4">
        <v>1.3080174E10</v>
      </c>
      <c r="O50" s="4">
        <v>1.2795631E10</v>
      </c>
      <c r="P50" s="4">
        <v>1.1579024E10</v>
      </c>
      <c r="Q50" s="4">
        <v>1.1258457E10</v>
      </c>
      <c r="R50" s="4">
        <v>1.0856099E10</v>
      </c>
      <c r="S50" s="4">
        <v>1.0774899E10</v>
      </c>
      <c r="T50" s="4">
        <v>3.770788E9</v>
      </c>
      <c r="U50" s="4">
        <v>3.782951E9</v>
      </c>
      <c r="V50" s="4">
        <v>3.649463E9</v>
      </c>
      <c r="W50" s="4">
        <v>3.73158E9</v>
      </c>
      <c r="X50" s="4">
        <v>3.426259E9</v>
      </c>
      <c r="Y50" s="4">
        <v>3.692795E9</v>
      </c>
      <c r="Z50" s="4">
        <v>3.626974E9</v>
      </c>
      <c r="AA50" s="4">
        <v>3.575433E9</v>
      </c>
      <c r="AB50" s="4">
        <v>3.643199E9</v>
      </c>
      <c r="AC50" s="4">
        <v>3.595485E9</v>
      </c>
      <c r="AD50" s="4">
        <v>3.484603E9</v>
      </c>
      <c r="AE50" s="4">
        <v>3.916407E9</v>
      </c>
      <c r="AF50" s="4">
        <v>3.884413E9</v>
      </c>
      <c r="AG50" s="4">
        <v>3.953117E9</v>
      </c>
      <c r="AH50" s="4">
        <v>3.621498E9</v>
      </c>
      <c r="AI50" s="4">
        <v>3.497753E9</v>
      </c>
      <c r="AJ50" s="4">
        <v>3.526326E9</v>
      </c>
      <c r="AK50" s="4">
        <v>3.522889E9</v>
      </c>
      <c r="AL50" s="4">
        <v>3.760383E9</v>
      </c>
      <c r="AM50" s="4">
        <v>3.906339E9</v>
      </c>
      <c r="AN50" s="4">
        <v>3.65336E9</v>
      </c>
      <c r="AO50" s="4">
        <v>3.747971E9</v>
      </c>
      <c r="AP50" s="4">
        <v>3.727964E9</v>
      </c>
      <c r="AQ50" s="4">
        <v>3.714396E9</v>
      </c>
      <c r="AR50" s="4">
        <v>3.643805E9</v>
      </c>
      <c r="AS50" s="4">
        <v>3.904976E9</v>
      </c>
      <c r="AT50" s="4">
        <v>3.766381E9</v>
      </c>
      <c r="AU50" s="4">
        <v>3.767523E9</v>
      </c>
      <c r="AV50" s="4">
        <v>3.510123E9</v>
      </c>
      <c r="AW50" s="4">
        <v>3.609649E9</v>
      </c>
      <c r="AX50" s="4">
        <v>3.628588E9</v>
      </c>
      <c r="AY50" s="4">
        <v>4.107978E9</v>
      </c>
      <c r="AZ50" s="4">
        <v>4.12637E9</v>
      </c>
      <c r="BA50" s="4">
        <v>4.121869E9</v>
      </c>
      <c r="BB50" s="4">
        <v>4.17747E9</v>
      </c>
      <c r="BC50" s="4">
        <v>4.23451E9</v>
      </c>
      <c r="BD50" s="4">
        <v>4.266721E9</v>
      </c>
      <c r="BE50" s="4">
        <v>4.966185E9</v>
      </c>
      <c r="BF50" s="4">
        <v>4.957581E9</v>
      </c>
      <c r="BG50" s="4">
        <v>4.969554E9</v>
      </c>
      <c r="BH50" s="4">
        <v>4.982269E9</v>
      </c>
      <c r="BI50" s="4">
        <v>4.98398E9</v>
      </c>
      <c r="BJ50" s="4">
        <v>4.97827E9</v>
      </c>
      <c r="BK50" s="4">
        <v>4.977652E9</v>
      </c>
      <c r="BL50" s="4">
        <v>5.094317E9</v>
      </c>
      <c r="BM50" s="4">
        <v>5.27259E8</v>
      </c>
      <c r="BN50" s="4">
        <v>4.61896E8</v>
      </c>
      <c r="BO50" s="4">
        <v>5.54859E8</v>
      </c>
      <c r="BP50" s="4">
        <v>5.79068E8</v>
      </c>
      <c r="BQ50" s="4">
        <v>3.97161E8</v>
      </c>
      <c r="BR50" s="4">
        <v>3.37595E8</v>
      </c>
      <c r="BS50" s="4">
        <v>4.06554E8</v>
      </c>
      <c r="BT50" s="4">
        <v>3.23181E8</v>
      </c>
      <c r="BU50" s="4">
        <v>3.28794E8</v>
      </c>
      <c r="BV50" s="4">
        <v>3.30847E8</v>
      </c>
      <c r="BW50" s="4">
        <v>4.01868E8</v>
      </c>
      <c r="BX50" s="4">
        <v>3.3526E8</v>
      </c>
      <c r="BY50" s="4">
        <v>3.32269E8</v>
      </c>
      <c r="BZ50" s="4">
        <v>3.31987E8</v>
      </c>
      <c r="CA50" s="4">
        <v>3.27457E8</v>
      </c>
      <c r="CB50" s="4">
        <v>3.29353E8</v>
      </c>
      <c r="CC50" s="4">
        <v>3.77612E8</v>
      </c>
      <c r="CD50" s="4">
        <v>3.80584E8</v>
      </c>
      <c r="CE50" s="4">
        <v>5.47538E8</v>
      </c>
      <c r="CF50" s="4">
        <v>5.52737E8</v>
      </c>
      <c r="CG50" s="4">
        <v>3.89471E8</v>
      </c>
      <c r="CH50" s="4">
        <v>3.77116E8</v>
      </c>
      <c r="CI50" s="4">
        <v>3.47174E8</v>
      </c>
      <c r="CJ50" s="4">
        <v>8.97435E8</v>
      </c>
      <c r="CK50" s="4">
        <v>8.95526E8</v>
      </c>
      <c r="CL50" s="4">
        <v>8.82764E8</v>
      </c>
      <c r="CM50" s="4">
        <v>2.61724E8</v>
      </c>
      <c r="CN50" s="4">
        <v>2.57042E8</v>
      </c>
      <c r="CO50" s="4">
        <v>5.7685E7</v>
      </c>
      <c r="CP50" s="4">
        <v>5.2723E7</v>
      </c>
      <c r="CT50" s="4">
        <v>3.0889E7</v>
      </c>
      <c r="CX50" s="4">
        <v>2.3231E7</v>
      </c>
      <c r="DB50" s="4">
        <v>8153000.0</v>
      </c>
      <c r="DF50" s="4">
        <v>6271000.0</v>
      </c>
      <c r="DJ50" s="4">
        <v>8149000.0</v>
      </c>
    </row>
    <row r="51">
      <c r="A51" s="1" t="s">
        <v>50</v>
      </c>
      <c r="H51" s="4">
        <v>1.29692E8</v>
      </c>
      <c r="L51" s="4">
        <v>1.34765E8</v>
      </c>
      <c r="P51" s="4">
        <v>1.31281E8</v>
      </c>
      <c r="T51" s="4">
        <v>1.30022E8</v>
      </c>
    </row>
    <row r="52">
      <c r="A52" s="1" t="s">
        <v>51</v>
      </c>
      <c r="B52" s="4">
        <v>1.6704408E10</v>
      </c>
      <c r="C52" s="4">
        <v>1.64286E10</v>
      </c>
      <c r="D52" s="4">
        <v>1.637216E10</v>
      </c>
      <c r="E52" s="4">
        <v>1.518077E10</v>
      </c>
      <c r="F52" s="4">
        <v>1.3361028E10</v>
      </c>
      <c r="G52" s="4">
        <v>1.2906636E10</v>
      </c>
      <c r="H52" s="4">
        <v>1.3062777E10</v>
      </c>
      <c r="I52" s="4">
        <v>1.293594E10</v>
      </c>
      <c r="J52" s="4">
        <v>1.2818481E10</v>
      </c>
      <c r="K52" s="4">
        <v>1.2630152E10</v>
      </c>
      <c r="L52" s="4">
        <v>1.2516363E10</v>
      </c>
      <c r="M52" s="4">
        <v>1.24166E10</v>
      </c>
      <c r="N52" s="4">
        <v>1.2213885E10</v>
      </c>
      <c r="O52" s="4">
        <v>1.192398E10</v>
      </c>
      <c r="P52" s="4">
        <v>1.0731121E10</v>
      </c>
      <c r="Q52" s="4">
        <v>1.0451413E10</v>
      </c>
      <c r="R52" s="4">
        <v>1.0054354E10</v>
      </c>
      <c r="S52" s="4">
        <v>9.97105E9</v>
      </c>
      <c r="T52" s="4">
        <v>2.86274E9</v>
      </c>
      <c r="U52" s="4">
        <v>2.902439E9</v>
      </c>
      <c r="V52" s="4">
        <v>2.776811E9</v>
      </c>
      <c r="W52" s="4">
        <v>2.862497E9</v>
      </c>
      <c r="X52" s="4">
        <v>2.604613E9</v>
      </c>
      <c r="Y52" s="4">
        <v>2.719568E9</v>
      </c>
      <c r="Z52" s="4">
        <v>2.683105E9</v>
      </c>
      <c r="AA52" s="4">
        <v>2.63209E9</v>
      </c>
      <c r="AB52" s="4">
        <v>2.710576E9</v>
      </c>
      <c r="AC52" s="4">
        <v>2.67321E9</v>
      </c>
      <c r="AD52" s="4">
        <v>2.556464E9</v>
      </c>
      <c r="AE52" s="4">
        <v>2.989663E9</v>
      </c>
      <c r="AF52" s="4">
        <v>2.969175E9</v>
      </c>
      <c r="AG52" s="4">
        <v>3.105332E9</v>
      </c>
      <c r="AH52" s="4">
        <v>2.761794E9</v>
      </c>
      <c r="AI52" s="4">
        <v>2.614005E9</v>
      </c>
      <c r="AJ52" s="4">
        <v>2.639427E9</v>
      </c>
      <c r="AK52" s="4">
        <v>2.666022E9</v>
      </c>
      <c r="AL52" s="4">
        <v>2.881217E9</v>
      </c>
      <c r="AM52" s="4">
        <v>3.006404E9</v>
      </c>
      <c r="AN52" s="4">
        <v>2.742788E9</v>
      </c>
      <c r="AO52" s="4">
        <v>2.873967E9</v>
      </c>
      <c r="AP52" s="4">
        <v>2.845138E9</v>
      </c>
      <c r="AQ52" s="4">
        <v>2.835303E9</v>
      </c>
      <c r="AR52" s="4">
        <v>2.771336E9</v>
      </c>
      <c r="AS52" s="4">
        <v>3.023367E9</v>
      </c>
      <c r="AT52" s="4">
        <v>2.887251E9</v>
      </c>
      <c r="AU52" s="4">
        <v>2.88092E9</v>
      </c>
      <c r="AV52" s="4">
        <v>2.617891E9</v>
      </c>
      <c r="AW52" s="4">
        <v>2.721061E9</v>
      </c>
      <c r="AX52" s="4">
        <v>2.779408E9</v>
      </c>
      <c r="AY52" s="4">
        <v>3.262597E9</v>
      </c>
      <c r="AZ52" s="4">
        <v>3.28707E9</v>
      </c>
      <c r="BA52" s="4">
        <v>3.286907E9</v>
      </c>
      <c r="BB52" s="4">
        <v>3.350807E9</v>
      </c>
      <c r="BC52" s="4">
        <v>3.399887E9</v>
      </c>
      <c r="BD52" s="4">
        <v>3.399715E9</v>
      </c>
      <c r="BE52" s="4">
        <v>4.105252E9</v>
      </c>
      <c r="BF52" s="4">
        <v>4.111023E9</v>
      </c>
      <c r="BG52" s="4">
        <v>4.11719E9</v>
      </c>
      <c r="BH52" s="4">
        <v>4.122956E9</v>
      </c>
      <c r="BI52" s="4">
        <v>4.172467E9</v>
      </c>
      <c r="BJ52" s="4">
        <v>4.17761E9</v>
      </c>
      <c r="BK52" s="4">
        <v>4.176121E9</v>
      </c>
      <c r="BL52" s="4">
        <v>4.278756E9</v>
      </c>
      <c r="BM52" s="4">
        <v>2.60373E8</v>
      </c>
      <c r="BN52" s="4">
        <v>2.61958E8</v>
      </c>
      <c r="BO52" s="4">
        <v>4.95339E8</v>
      </c>
      <c r="BP52" s="4">
        <v>5.16537E8</v>
      </c>
      <c r="BQ52" s="4">
        <v>3.33471E8</v>
      </c>
      <c r="BR52" s="4">
        <v>2.69962E8</v>
      </c>
      <c r="BS52" s="4">
        <v>3.44436E8</v>
      </c>
      <c r="BT52" s="4">
        <v>2.55445E8</v>
      </c>
      <c r="BU52" s="4">
        <v>2.56452E8</v>
      </c>
      <c r="BV52" s="4">
        <v>2.58462E8</v>
      </c>
      <c r="BW52" s="4">
        <v>3.21194E8</v>
      </c>
      <c r="BX52" s="4">
        <v>2.59009E8</v>
      </c>
      <c r="BY52" s="4">
        <v>2.61621E8</v>
      </c>
      <c r="BZ52" s="4">
        <v>2.65337E8</v>
      </c>
      <c r="CA52" s="4">
        <v>2.68357E8</v>
      </c>
      <c r="CB52" s="4">
        <v>2.7242E8</v>
      </c>
      <c r="CC52" s="4">
        <v>3.26028E8</v>
      </c>
      <c r="CD52" s="4">
        <v>3.30337E8</v>
      </c>
      <c r="CE52" s="4">
        <v>5.02498E8</v>
      </c>
      <c r="CF52" s="4">
        <v>5.06707E8</v>
      </c>
      <c r="CG52" s="4">
        <v>3.36083E8</v>
      </c>
      <c r="CH52" s="4">
        <v>3.3947E8</v>
      </c>
      <c r="CI52" s="4">
        <v>3.47174E8</v>
      </c>
      <c r="CJ52" s="4">
        <v>7.35435E8</v>
      </c>
      <c r="CK52" s="4">
        <v>7.33526E8</v>
      </c>
      <c r="CL52" s="4">
        <v>7.20764E8</v>
      </c>
      <c r="CM52" s="4">
        <v>2.10907E8</v>
      </c>
      <c r="CN52" s="4">
        <v>2.05369E8</v>
      </c>
      <c r="CO52" s="4">
        <v>2240000.0</v>
      </c>
      <c r="CP52" s="4">
        <v>1200000.0</v>
      </c>
      <c r="CQ52" s="4">
        <v>1500000.0</v>
      </c>
      <c r="CR52" s="4">
        <v>1500000.0</v>
      </c>
      <c r="CS52" s="4">
        <v>600000.0</v>
      </c>
      <c r="CT52" s="4">
        <v>786000.0</v>
      </c>
      <c r="CU52" s="4">
        <v>200000.0</v>
      </c>
      <c r="CV52" s="4">
        <v>200000.0</v>
      </c>
      <c r="CW52" s="4">
        <v>400000.0</v>
      </c>
      <c r="CX52" s="4">
        <v>1294000.0</v>
      </c>
      <c r="CY52" s="4">
        <v>1400000.0</v>
      </c>
      <c r="CZ52" s="4">
        <v>1600000.0</v>
      </c>
      <c r="DA52" s="4">
        <v>1800000.0</v>
      </c>
      <c r="DB52" s="4">
        <v>2582000.0</v>
      </c>
      <c r="DC52" s="4">
        <v>2700000.0</v>
      </c>
      <c r="DD52" s="4">
        <v>2100000.0</v>
      </c>
      <c r="DE52" s="4">
        <v>2300000.0</v>
      </c>
      <c r="DF52" s="4">
        <v>3278000.0</v>
      </c>
      <c r="DG52" s="4">
        <v>3400000.0</v>
      </c>
      <c r="DH52" s="4">
        <v>3600000.0</v>
      </c>
      <c r="DI52" s="4">
        <v>3900000.0</v>
      </c>
      <c r="DJ52" s="4">
        <v>4767000.0</v>
      </c>
      <c r="DK52" s="4">
        <v>4500000.0</v>
      </c>
      <c r="DL52" s="4">
        <v>4700000.0</v>
      </c>
      <c r="DM52" s="4">
        <v>4800000.0</v>
      </c>
      <c r="DN52" s="4">
        <v>5700000.0</v>
      </c>
      <c r="DO52" s="4">
        <v>5800000.0</v>
      </c>
      <c r="DP52" s="4">
        <v>6000000.0</v>
      </c>
      <c r="DQ52" s="4">
        <v>6100000.0</v>
      </c>
      <c r="DR52" s="4">
        <v>7000000.0</v>
      </c>
      <c r="DS52" s="4">
        <v>7100000.0</v>
      </c>
      <c r="DT52" s="4">
        <v>3.73E7</v>
      </c>
      <c r="DU52" s="4">
        <v>2.35E7</v>
      </c>
      <c r="DV52" s="4">
        <v>2.12E7</v>
      </c>
      <c r="DW52" s="4">
        <v>4.57E7</v>
      </c>
      <c r="DX52" s="4">
        <v>3.83E7</v>
      </c>
      <c r="DY52" s="4">
        <v>2.41E7</v>
      </c>
      <c r="DZ52" s="4">
        <v>1.91E7</v>
      </c>
      <c r="EA52" s="4">
        <v>6.02E7</v>
      </c>
      <c r="EB52" s="4">
        <v>5.76E7</v>
      </c>
      <c r="EC52" s="4">
        <v>4.67E7</v>
      </c>
      <c r="ED52" s="4">
        <v>2.68E7</v>
      </c>
      <c r="EE52" s="4">
        <v>6.09E7</v>
      </c>
      <c r="EF52" s="4">
        <v>6.25E7</v>
      </c>
      <c r="EG52" s="4">
        <v>4.56E7</v>
      </c>
      <c r="EH52" s="4">
        <v>4.89E7</v>
      </c>
      <c r="EI52" s="4">
        <v>5.23E7</v>
      </c>
      <c r="EJ52" s="4">
        <v>6.43E7</v>
      </c>
    </row>
    <row r="53">
      <c r="A53" s="1" t="s">
        <v>52</v>
      </c>
      <c r="B53" s="4">
        <v>7.295215E9</v>
      </c>
      <c r="C53" s="4">
        <v>7.028767E9</v>
      </c>
      <c r="D53" s="4">
        <v>7.009399E9</v>
      </c>
      <c r="E53" s="4">
        <v>5.985728E9</v>
      </c>
      <c r="F53" s="4">
        <v>4.2907E9</v>
      </c>
      <c r="G53" s="4">
        <v>3.947462E9</v>
      </c>
      <c r="H53" s="4">
        <v>4.172068E9</v>
      </c>
      <c r="I53" s="4">
        <v>4.127426E9</v>
      </c>
      <c r="J53" s="4">
        <v>4.156765E9</v>
      </c>
      <c r="K53" s="4">
        <v>4.13071E9</v>
      </c>
      <c r="L53" s="4">
        <v>4.130975E9</v>
      </c>
      <c r="M53" s="4">
        <v>4.131573E9</v>
      </c>
      <c r="N53" s="4">
        <v>4.089001E9</v>
      </c>
      <c r="O53" s="4">
        <v>3.967221E9</v>
      </c>
      <c r="P53" s="4">
        <v>2.911438E9</v>
      </c>
      <c r="Q53" s="4">
        <v>2.76249E9</v>
      </c>
      <c r="R53" s="4">
        <v>2.573483E9</v>
      </c>
      <c r="S53" s="4">
        <v>2.732105E9</v>
      </c>
      <c r="T53" s="4">
        <v>2.86274E9</v>
      </c>
      <c r="U53" s="4">
        <v>2.902439E9</v>
      </c>
      <c r="V53" s="4">
        <v>2.776811E9</v>
      </c>
      <c r="W53" s="4">
        <v>2.862497E9</v>
      </c>
      <c r="X53" s="4">
        <v>2.604613E9</v>
      </c>
      <c r="Y53" s="4">
        <v>2.719568E9</v>
      </c>
      <c r="Z53" s="4">
        <v>2.683105E9</v>
      </c>
      <c r="AA53" s="4">
        <v>2.63209E9</v>
      </c>
      <c r="AB53" s="4">
        <v>2.710576E9</v>
      </c>
      <c r="AC53" s="4">
        <v>2.67321E9</v>
      </c>
      <c r="AD53" s="4">
        <v>2.556464E9</v>
      </c>
      <c r="AE53" s="4">
        <v>2.989663E9</v>
      </c>
      <c r="AF53" s="4">
        <v>2.969175E9</v>
      </c>
      <c r="AG53" s="4">
        <v>3.105332E9</v>
      </c>
      <c r="AH53" s="4">
        <v>2.761794E9</v>
      </c>
      <c r="AI53" s="4">
        <v>2.614005E9</v>
      </c>
      <c r="AJ53" s="4">
        <v>2.639427E9</v>
      </c>
      <c r="AK53" s="4">
        <v>2.666022E9</v>
      </c>
      <c r="AL53" s="4">
        <v>2.881217E9</v>
      </c>
      <c r="AM53" s="4">
        <v>3.006404E9</v>
      </c>
      <c r="AN53" s="4">
        <v>2.742788E9</v>
      </c>
      <c r="AO53" s="4">
        <v>2.873967E9</v>
      </c>
      <c r="AP53" s="4">
        <v>2.845138E9</v>
      </c>
      <c r="AQ53" s="4">
        <v>2.835303E9</v>
      </c>
      <c r="AR53" s="4">
        <v>2.771336E9</v>
      </c>
      <c r="AS53" s="4">
        <v>3.023367E9</v>
      </c>
      <c r="AT53" s="4">
        <v>2.887251E9</v>
      </c>
      <c r="AU53" s="4">
        <v>2.88092E9</v>
      </c>
      <c r="AV53" s="4">
        <v>2.617891E9</v>
      </c>
      <c r="AW53" s="4">
        <v>2.721061E9</v>
      </c>
      <c r="AX53" s="4">
        <v>2.779408E9</v>
      </c>
      <c r="AY53" s="4">
        <v>3.262597E9</v>
      </c>
      <c r="AZ53" s="4">
        <v>3.28707E9</v>
      </c>
      <c r="BA53" s="4">
        <v>3.286907E9</v>
      </c>
      <c r="BB53" s="4">
        <v>3.350807E9</v>
      </c>
      <c r="BC53" s="4">
        <v>3.399887E9</v>
      </c>
      <c r="BD53" s="4">
        <v>3.399715E9</v>
      </c>
      <c r="BE53" s="4">
        <v>4.105252E9</v>
      </c>
      <c r="BF53" s="4">
        <v>4.111023E9</v>
      </c>
      <c r="BG53" s="4">
        <v>4.11719E9</v>
      </c>
      <c r="BH53" s="4">
        <v>4.122956E9</v>
      </c>
      <c r="BI53" s="4">
        <v>4.172467E9</v>
      </c>
      <c r="BJ53" s="4">
        <v>4.17761E9</v>
      </c>
      <c r="BK53" s="4">
        <v>4.176121E9</v>
      </c>
      <c r="BL53" s="4">
        <v>4.278756E9</v>
      </c>
      <c r="BM53" s="4">
        <v>2.60373E8</v>
      </c>
      <c r="BN53" s="4">
        <v>2.61958E8</v>
      </c>
      <c r="BO53" s="4">
        <v>4.95339E8</v>
      </c>
      <c r="BP53" s="4">
        <v>5.16537E8</v>
      </c>
      <c r="BQ53" s="4">
        <v>3.33471E8</v>
      </c>
      <c r="BR53" s="4">
        <v>2.69962E8</v>
      </c>
      <c r="BS53" s="4">
        <v>3.44436E8</v>
      </c>
      <c r="BT53" s="4">
        <v>2.55445E8</v>
      </c>
      <c r="BU53" s="4">
        <v>2.56452E8</v>
      </c>
      <c r="BV53" s="4">
        <v>2.58462E8</v>
      </c>
      <c r="BW53" s="4">
        <v>3.21194E8</v>
      </c>
      <c r="BX53" s="4">
        <v>2.59009E8</v>
      </c>
      <c r="BY53" s="4">
        <v>2.61621E8</v>
      </c>
      <c r="BZ53" s="4">
        <v>2.65337E8</v>
      </c>
      <c r="CA53" s="4">
        <v>2.68357E8</v>
      </c>
      <c r="CB53" s="4">
        <v>2.7242E8</v>
      </c>
      <c r="CC53" s="4">
        <v>3.26028E8</v>
      </c>
      <c r="CD53" s="4">
        <v>3.30337E8</v>
      </c>
      <c r="CE53" s="4">
        <v>5.02498E8</v>
      </c>
      <c r="CF53" s="4">
        <v>5.06707E8</v>
      </c>
      <c r="CG53" s="4">
        <v>3.36083E8</v>
      </c>
      <c r="CH53" s="4">
        <v>3.3947E8</v>
      </c>
      <c r="CI53" s="4">
        <v>3.47174E8</v>
      </c>
      <c r="CJ53" s="4">
        <v>7.35435E8</v>
      </c>
      <c r="CK53" s="4">
        <v>7.33526E8</v>
      </c>
      <c r="CL53" s="4">
        <v>7.20764E8</v>
      </c>
      <c r="CM53" s="4">
        <v>2.10907E8</v>
      </c>
      <c r="CN53" s="4">
        <v>2.05369E8</v>
      </c>
      <c r="CO53" s="4">
        <v>2240000.0</v>
      </c>
      <c r="CP53" s="4">
        <v>1200000.0</v>
      </c>
      <c r="CQ53" s="4">
        <v>1500000.0</v>
      </c>
      <c r="CR53" s="4">
        <v>1500000.0</v>
      </c>
      <c r="CS53" s="4">
        <v>600000.0</v>
      </c>
      <c r="CT53" s="4">
        <v>786000.0</v>
      </c>
      <c r="CU53" s="4">
        <v>200000.0</v>
      </c>
      <c r="CV53" s="4">
        <v>200000.0</v>
      </c>
      <c r="CW53" s="4">
        <v>400000.0</v>
      </c>
      <c r="CX53" s="4">
        <v>1294000.0</v>
      </c>
      <c r="CY53" s="4">
        <v>1400000.0</v>
      </c>
      <c r="CZ53" s="4">
        <v>1600000.0</v>
      </c>
      <c r="DA53" s="4">
        <v>1800000.0</v>
      </c>
      <c r="DB53" s="4">
        <v>2582000.0</v>
      </c>
      <c r="DC53" s="4">
        <v>2700000.0</v>
      </c>
      <c r="DD53" s="4">
        <v>2100000.0</v>
      </c>
      <c r="DE53" s="4">
        <v>2300000.0</v>
      </c>
      <c r="DF53" s="4">
        <v>3278000.0</v>
      </c>
      <c r="DG53" s="4">
        <v>3400000.0</v>
      </c>
      <c r="DH53" s="4">
        <v>3600000.0</v>
      </c>
      <c r="DI53" s="4">
        <v>3900000.0</v>
      </c>
      <c r="DJ53" s="4">
        <v>4767000.0</v>
      </c>
      <c r="DK53" s="4">
        <v>4500000.0</v>
      </c>
      <c r="DL53" s="4">
        <v>4700000.0</v>
      </c>
      <c r="DM53" s="4">
        <v>4800000.0</v>
      </c>
      <c r="DN53" s="4">
        <v>5700000.0</v>
      </c>
      <c r="DO53" s="4">
        <v>5800000.0</v>
      </c>
      <c r="DP53" s="4">
        <v>6000000.0</v>
      </c>
      <c r="DQ53" s="4">
        <v>6100000.0</v>
      </c>
      <c r="DR53" s="4">
        <v>7000000.0</v>
      </c>
      <c r="DS53" s="4">
        <v>7100000.0</v>
      </c>
      <c r="DT53" s="4">
        <v>3.73E7</v>
      </c>
      <c r="DU53" s="4">
        <v>2.35E7</v>
      </c>
      <c r="DV53" s="4">
        <v>2.12E7</v>
      </c>
      <c r="DW53" s="4">
        <v>4.57E7</v>
      </c>
      <c r="DX53" s="4">
        <v>3.83E7</v>
      </c>
      <c r="DY53" s="4">
        <v>2.41E7</v>
      </c>
      <c r="DZ53" s="4">
        <v>1.91E7</v>
      </c>
      <c r="EA53" s="4">
        <v>6.02E7</v>
      </c>
      <c r="EB53" s="4">
        <v>5.76E7</v>
      </c>
      <c r="EC53" s="4">
        <v>4.67E7</v>
      </c>
      <c r="ED53" s="4">
        <v>2.68E7</v>
      </c>
      <c r="EE53" s="4">
        <v>6.09E7</v>
      </c>
      <c r="EF53" s="4">
        <v>6.25E7</v>
      </c>
      <c r="EG53" s="4">
        <v>4.56E7</v>
      </c>
      <c r="EH53" s="4">
        <v>4.89E7</v>
      </c>
      <c r="EI53" s="4">
        <v>5.23E7</v>
      </c>
      <c r="EJ53" s="4">
        <v>6.43E7</v>
      </c>
    </row>
    <row r="54">
      <c r="A54" s="1" t="s">
        <v>53</v>
      </c>
      <c r="B54" s="4">
        <v>9.409193E9</v>
      </c>
      <c r="C54" s="4">
        <v>9.399833E9</v>
      </c>
      <c r="D54" s="4">
        <v>9.362761E9</v>
      </c>
      <c r="E54" s="4">
        <v>9.195042E9</v>
      </c>
      <c r="F54" s="4">
        <v>9.070328E9</v>
      </c>
      <c r="G54" s="4">
        <v>8.959174E9</v>
      </c>
      <c r="H54" s="4">
        <v>8.890709E9</v>
      </c>
      <c r="I54" s="4">
        <v>8.808514E9</v>
      </c>
      <c r="J54" s="4">
        <v>8.661716E9</v>
      </c>
      <c r="K54" s="4">
        <v>8.499442E9</v>
      </c>
      <c r="L54" s="4">
        <v>8.385388E9</v>
      </c>
      <c r="M54" s="4">
        <v>8.285027E9</v>
      </c>
      <c r="N54" s="4">
        <v>8.124884E9</v>
      </c>
      <c r="O54" s="4">
        <v>7.956759E9</v>
      </c>
      <c r="P54" s="4">
        <v>7.819683E9</v>
      </c>
      <c r="Q54" s="4">
        <v>7.688923E9</v>
      </c>
      <c r="R54" s="4">
        <v>7.480871E9</v>
      </c>
      <c r="S54" s="4">
        <v>7.238945E9</v>
      </c>
    </row>
    <row r="55">
      <c r="A55" s="1" t="s">
        <v>54</v>
      </c>
      <c r="B55" s="4">
        <v>1.119114E9</v>
      </c>
      <c r="C55" s="4">
        <v>1.111434E9</v>
      </c>
      <c r="D55" s="4">
        <v>1.060906E9</v>
      </c>
      <c r="E55" s="4">
        <v>9.92479E8</v>
      </c>
      <c r="F55" s="4">
        <v>9.06846E8</v>
      </c>
      <c r="G55" s="4">
        <v>9.0702E8</v>
      </c>
      <c r="H55" s="4">
        <v>8.25254E8</v>
      </c>
      <c r="I55" s="4">
        <v>7.81231E8</v>
      </c>
      <c r="J55" s="4">
        <v>7.81477E8</v>
      </c>
      <c r="K55" s="4">
        <v>7.6943E8</v>
      </c>
      <c r="L55" s="4">
        <v>7.10549E8</v>
      </c>
      <c r="M55" s="4">
        <v>6.86694E8</v>
      </c>
      <c r="N55" s="4">
        <v>6.89893E8</v>
      </c>
      <c r="O55" s="4">
        <v>7.00098E8</v>
      </c>
      <c r="P55" s="4">
        <v>6.75227E8</v>
      </c>
      <c r="Q55" s="4">
        <v>6.34041E8</v>
      </c>
      <c r="R55" s="4">
        <v>6.27765E8</v>
      </c>
      <c r="S55" s="4">
        <v>6.29864E8</v>
      </c>
      <c r="T55" s="4">
        <v>6.09687E8</v>
      </c>
      <c r="U55" s="4">
        <v>5.83066E8</v>
      </c>
      <c r="V55" s="4">
        <v>5.6969E8</v>
      </c>
      <c r="W55" s="4">
        <v>5.6515E8</v>
      </c>
      <c r="X55" s="4">
        <v>5.15702E8</v>
      </c>
      <c r="Y55" s="4">
        <v>6.90795E8</v>
      </c>
      <c r="Z55" s="4">
        <v>6.59844E8</v>
      </c>
      <c r="AA55" s="4">
        <v>6.62485E8</v>
      </c>
      <c r="AB55" s="4">
        <v>6.52841E8</v>
      </c>
      <c r="AC55" s="4">
        <v>6.37135E8</v>
      </c>
      <c r="AD55" s="4">
        <v>6.47372E8</v>
      </c>
      <c r="AE55" s="4">
        <v>6.47626E8</v>
      </c>
      <c r="AF55" s="4">
        <v>6.39955E8</v>
      </c>
      <c r="AG55" s="4">
        <v>5.68238E8</v>
      </c>
      <c r="AH55" s="4">
        <v>5.78084E8</v>
      </c>
      <c r="AI55" s="4">
        <v>5.98248E8</v>
      </c>
      <c r="AJ55" s="4">
        <v>6.0159E8</v>
      </c>
      <c r="AK55" s="4">
        <v>5.69055E8</v>
      </c>
      <c r="AL55" s="4">
        <v>5.82883E8</v>
      </c>
      <c r="AM55" s="4">
        <v>6.00239E8</v>
      </c>
      <c r="AN55" s="4">
        <v>6.14026E8</v>
      </c>
      <c r="AO55" s="4">
        <v>6.43206E8</v>
      </c>
      <c r="AP55" s="4">
        <v>6.4778E8</v>
      </c>
      <c r="AQ55" s="4">
        <v>6.46462E8</v>
      </c>
      <c r="AR55" s="4">
        <v>6.70453E8</v>
      </c>
      <c r="AS55" s="4">
        <v>6.5591E8</v>
      </c>
      <c r="AT55" s="4">
        <v>6.51521E8</v>
      </c>
      <c r="AU55" s="4">
        <v>6.49532E8</v>
      </c>
      <c r="AV55" s="4">
        <v>6.56996E8</v>
      </c>
      <c r="AW55" s="4">
        <v>6.47329E8</v>
      </c>
      <c r="AX55" s="4">
        <v>6.24034E8</v>
      </c>
      <c r="AY55" s="4">
        <v>6.06071E8</v>
      </c>
      <c r="AZ55" s="4">
        <v>5.98565E8</v>
      </c>
      <c r="BA55" s="4">
        <v>5.6551E8</v>
      </c>
      <c r="BB55" s="4">
        <v>5.32313E8</v>
      </c>
      <c r="BC55" s="4">
        <v>5.4001E8</v>
      </c>
      <c r="BD55" s="4">
        <v>5.46172E8</v>
      </c>
      <c r="BE55" s="4">
        <v>5.4718E8</v>
      </c>
      <c r="BF55" s="4">
        <v>5.50551E8</v>
      </c>
      <c r="BG55" s="4">
        <v>5.54098E8</v>
      </c>
      <c r="BH55" s="4">
        <v>5.56101E8</v>
      </c>
      <c r="BI55" s="4">
        <v>5.4226E8</v>
      </c>
      <c r="BJ55" s="4">
        <v>4.83867E8</v>
      </c>
      <c r="BK55" s="4">
        <v>4.90035E8</v>
      </c>
      <c r="BL55" s="4">
        <v>4.86725E8</v>
      </c>
      <c r="BM55" s="1">
        <v>0.0</v>
      </c>
      <c r="BN55" s="4">
        <v>4.1597E7</v>
      </c>
      <c r="BO55" s="4">
        <v>5.952E7</v>
      </c>
      <c r="BP55" s="4">
        <v>6.2531E7</v>
      </c>
      <c r="BQ55" s="4">
        <v>6.369E7</v>
      </c>
      <c r="BR55" s="4">
        <v>6.7633E7</v>
      </c>
      <c r="BS55" s="4">
        <v>6.2118E7</v>
      </c>
      <c r="BT55" s="4">
        <v>6.7736E7</v>
      </c>
      <c r="BU55" s="4">
        <v>7.2342E7</v>
      </c>
      <c r="BV55" s="4">
        <v>7.2385E7</v>
      </c>
      <c r="BW55" s="4">
        <v>8.0674E7</v>
      </c>
      <c r="BX55" s="4">
        <v>7.6251E7</v>
      </c>
      <c r="BY55" s="4">
        <v>7.0648E7</v>
      </c>
      <c r="BZ55" s="4">
        <v>6.665E7</v>
      </c>
      <c r="CA55" s="4">
        <v>5.91E7</v>
      </c>
      <c r="CB55" s="4">
        <v>5.6933E7</v>
      </c>
      <c r="CC55" s="4">
        <v>5.1584E7</v>
      </c>
      <c r="CD55" s="4">
        <v>5.0247E7</v>
      </c>
      <c r="CE55" s="4">
        <v>4.504E7</v>
      </c>
      <c r="CF55" s="4">
        <v>4.603E7</v>
      </c>
      <c r="CG55" s="4">
        <v>5.3388E7</v>
      </c>
      <c r="CH55" s="4">
        <v>3.7646E7</v>
      </c>
      <c r="CL55" s="1">
        <v>0.0</v>
      </c>
      <c r="CM55" s="4">
        <v>5.0817E7</v>
      </c>
      <c r="CN55" s="4">
        <v>5.1673E7</v>
      </c>
      <c r="CO55" s="4">
        <v>5.5445E7</v>
      </c>
      <c r="CP55" s="4">
        <v>5.1523E7</v>
      </c>
      <c r="CQ55" s="4">
        <v>1.21E7</v>
      </c>
      <c r="CR55" s="4">
        <v>1.81E7</v>
      </c>
      <c r="CS55" s="4">
        <v>2.46E7</v>
      </c>
      <c r="CT55" s="4">
        <v>3.0103E7</v>
      </c>
      <c r="CU55" s="4">
        <v>1.23E7</v>
      </c>
      <c r="CV55" s="4">
        <v>2.17E7</v>
      </c>
      <c r="CW55" s="4">
        <v>2.17E7</v>
      </c>
      <c r="CX55" s="4">
        <v>2.1937E7</v>
      </c>
      <c r="CY55" s="4">
        <v>5400000.0</v>
      </c>
      <c r="CZ55" s="4">
        <v>5300000.0</v>
      </c>
      <c r="DA55" s="4">
        <v>7800000.0</v>
      </c>
      <c r="DB55" s="4">
        <v>5571000.0</v>
      </c>
      <c r="DC55" s="4">
        <v>3600000.0</v>
      </c>
      <c r="DD55" s="4">
        <v>3600000.0</v>
      </c>
      <c r="DE55" s="4">
        <v>3600000.0</v>
      </c>
      <c r="DF55" s="4">
        <v>2993000.0</v>
      </c>
      <c r="DG55" s="4">
        <v>3400000.0</v>
      </c>
      <c r="DH55" s="4">
        <v>3400000.0</v>
      </c>
      <c r="DI55" s="4">
        <v>3400000.0</v>
      </c>
      <c r="DJ55" s="4">
        <v>3382000.0</v>
      </c>
      <c r="DK55" s="4">
        <v>2600000.0</v>
      </c>
      <c r="DL55" s="4">
        <v>2600000.0</v>
      </c>
      <c r="DM55" s="4">
        <v>2600000.0</v>
      </c>
      <c r="DN55" s="4">
        <v>2600000.0</v>
      </c>
      <c r="DO55" s="4">
        <v>2600000.0</v>
      </c>
      <c r="DP55" s="4">
        <v>2600000.0</v>
      </c>
      <c r="DQ55" s="4">
        <v>2600000.0</v>
      </c>
      <c r="DR55" s="4">
        <v>2600000.0</v>
      </c>
      <c r="DS55" s="4">
        <v>2900000.0</v>
      </c>
      <c r="DT55" s="4">
        <v>2900000.0</v>
      </c>
      <c r="DU55" s="4">
        <v>2800000.0</v>
      </c>
      <c r="DV55" s="4">
        <v>2800000.0</v>
      </c>
      <c r="DW55" s="4">
        <v>1800000.0</v>
      </c>
      <c r="DX55" s="4">
        <v>1600000.0</v>
      </c>
      <c r="DY55" s="4">
        <v>1800000.0</v>
      </c>
      <c r="DZ55" s="4">
        <v>1800000.0</v>
      </c>
      <c r="EA55" s="4">
        <v>1400000.0</v>
      </c>
      <c r="EB55" s="4">
        <v>1300000.0</v>
      </c>
      <c r="EC55" s="4">
        <v>1300000.0</v>
      </c>
      <c r="ED55" s="4">
        <v>1300000.0</v>
      </c>
      <c r="EE55" s="4">
        <v>1100000.0</v>
      </c>
      <c r="EF55" s="4">
        <v>700000.0</v>
      </c>
      <c r="EG55" s="4">
        <v>700000.0</v>
      </c>
      <c r="EH55" s="4">
        <v>5100000.0</v>
      </c>
      <c r="EI55" s="4">
        <v>6100000.0</v>
      </c>
      <c r="EJ55" s="4">
        <v>5200000.0</v>
      </c>
    </row>
    <row r="56">
      <c r="A56" s="1" t="s">
        <v>55</v>
      </c>
      <c r="B56" s="4">
        <v>1.119114E9</v>
      </c>
      <c r="C56" s="4">
        <v>1.111434E9</v>
      </c>
      <c r="D56" s="4">
        <v>1.060906E9</v>
      </c>
      <c r="E56" s="4">
        <v>9.92479E8</v>
      </c>
      <c r="F56" s="4">
        <v>9.06846E8</v>
      </c>
      <c r="G56" s="4">
        <v>9.0702E8</v>
      </c>
      <c r="H56" s="4">
        <v>8.25254E8</v>
      </c>
      <c r="I56" s="4">
        <v>7.81231E8</v>
      </c>
      <c r="J56" s="4">
        <v>7.81477E8</v>
      </c>
      <c r="K56" s="4">
        <v>7.6943E8</v>
      </c>
      <c r="L56" s="4">
        <v>7.10549E8</v>
      </c>
      <c r="M56" s="4">
        <v>6.86694E8</v>
      </c>
      <c r="N56" s="4">
        <v>6.89893E8</v>
      </c>
      <c r="O56" s="4">
        <v>7.00098E8</v>
      </c>
      <c r="P56" s="4">
        <v>6.75227E8</v>
      </c>
      <c r="Q56" s="4">
        <v>6.34041E8</v>
      </c>
      <c r="R56" s="4">
        <v>6.27765E8</v>
      </c>
      <c r="S56" s="4">
        <v>6.29864E8</v>
      </c>
      <c r="T56" s="4">
        <v>6.09687E8</v>
      </c>
      <c r="U56" s="4">
        <v>5.83066E8</v>
      </c>
      <c r="V56" s="4">
        <v>5.6969E8</v>
      </c>
      <c r="W56" s="4">
        <v>5.6515E8</v>
      </c>
      <c r="X56" s="4">
        <v>5.15702E8</v>
      </c>
      <c r="Y56" s="4">
        <v>6.90795E8</v>
      </c>
      <c r="Z56" s="4">
        <v>6.59844E8</v>
      </c>
      <c r="AA56" s="4">
        <v>6.62485E8</v>
      </c>
      <c r="AB56" s="4">
        <v>6.52841E8</v>
      </c>
      <c r="AC56" s="4">
        <v>6.37135E8</v>
      </c>
      <c r="AD56" s="4">
        <v>6.47372E8</v>
      </c>
      <c r="AE56" s="4">
        <v>6.47626E8</v>
      </c>
      <c r="AF56" s="4">
        <v>6.39955E8</v>
      </c>
      <c r="AG56" s="4">
        <v>5.68238E8</v>
      </c>
      <c r="AH56" s="4">
        <v>5.78084E8</v>
      </c>
      <c r="AI56" s="4">
        <v>5.98248E8</v>
      </c>
      <c r="AJ56" s="4">
        <v>6.0159E8</v>
      </c>
      <c r="AK56" s="4">
        <v>5.69055E8</v>
      </c>
      <c r="AL56" s="4">
        <v>5.82883E8</v>
      </c>
      <c r="AM56" s="4">
        <v>6.00239E8</v>
      </c>
      <c r="AN56" s="4">
        <v>6.14026E8</v>
      </c>
      <c r="AO56" s="4">
        <v>6.43206E8</v>
      </c>
      <c r="AP56" s="4">
        <v>6.4778E8</v>
      </c>
      <c r="AQ56" s="4">
        <v>6.46462E8</v>
      </c>
      <c r="AR56" s="4">
        <v>6.70453E8</v>
      </c>
      <c r="AS56" s="4">
        <v>6.5591E8</v>
      </c>
      <c r="AT56" s="4">
        <v>6.51521E8</v>
      </c>
      <c r="AU56" s="4">
        <v>6.49532E8</v>
      </c>
      <c r="AV56" s="4">
        <v>6.56996E8</v>
      </c>
      <c r="AW56" s="4">
        <v>6.47329E8</v>
      </c>
      <c r="AX56" s="4">
        <v>6.24034E8</v>
      </c>
      <c r="AY56" s="4">
        <v>6.06071E8</v>
      </c>
      <c r="AZ56" s="4">
        <v>5.98565E8</v>
      </c>
      <c r="BA56" s="4">
        <v>5.6551E8</v>
      </c>
      <c r="BB56" s="4">
        <v>5.32313E8</v>
      </c>
      <c r="BC56" s="4">
        <v>5.4001E8</v>
      </c>
      <c r="BD56" s="4">
        <v>5.46172E8</v>
      </c>
      <c r="BE56" s="4">
        <v>5.4718E8</v>
      </c>
      <c r="BF56" s="4">
        <v>5.50551E8</v>
      </c>
      <c r="BG56" s="4">
        <v>5.54098E8</v>
      </c>
      <c r="BH56" s="4">
        <v>5.56101E8</v>
      </c>
      <c r="BI56" s="4">
        <v>5.4226E8</v>
      </c>
      <c r="BJ56" s="4">
        <v>4.83867E8</v>
      </c>
      <c r="BK56" s="4">
        <v>4.90035E8</v>
      </c>
      <c r="BL56" s="4">
        <v>4.86725E8</v>
      </c>
      <c r="BM56" s="1">
        <v>0.0</v>
      </c>
      <c r="BN56" s="4">
        <v>4.1597E7</v>
      </c>
      <c r="BO56" s="4">
        <v>5.952E7</v>
      </c>
      <c r="BP56" s="4">
        <v>6.2531E7</v>
      </c>
      <c r="BQ56" s="4">
        <v>6.369E7</v>
      </c>
      <c r="BR56" s="4">
        <v>6.7633E7</v>
      </c>
      <c r="BS56" s="4">
        <v>6.2118E7</v>
      </c>
      <c r="BT56" s="4">
        <v>6.7736E7</v>
      </c>
      <c r="BU56" s="4">
        <v>7.2342E7</v>
      </c>
      <c r="BV56" s="4">
        <v>7.2385E7</v>
      </c>
      <c r="BW56" s="4">
        <v>8.0674E7</v>
      </c>
      <c r="BX56" s="4">
        <v>7.6251E7</v>
      </c>
      <c r="BY56" s="4">
        <v>7.0648E7</v>
      </c>
      <c r="BZ56" s="4">
        <v>6.665E7</v>
      </c>
      <c r="CA56" s="4">
        <v>5.91E7</v>
      </c>
      <c r="CB56" s="4">
        <v>5.6933E7</v>
      </c>
      <c r="CC56" s="4">
        <v>5.1584E7</v>
      </c>
      <c r="CD56" s="4">
        <v>5.0247E7</v>
      </c>
      <c r="CE56" s="4">
        <v>4.504E7</v>
      </c>
      <c r="CF56" s="4">
        <v>4.603E7</v>
      </c>
      <c r="CG56" s="4">
        <v>5.3388E7</v>
      </c>
      <c r="CH56" s="4">
        <v>3.7646E7</v>
      </c>
      <c r="CL56" s="1">
        <v>0.0</v>
      </c>
      <c r="CM56" s="4">
        <v>5.0817E7</v>
      </c>
      <c r="CN56" s="4">
        <v>5.1673E7</v>
      </c>
      <c r="CO56" s="4">
        <v>5.5445E7</v>
      </c>
      <c r="CP56" s="4">
        <v>5.1523E7</v>
      </c>
      <c r="CQ56" s="4">
        <v>1.21E7</v>
      </c>
      <c r="CR56" s="4">
        <v>1.81E7</v>
      </c>
      <c r="CS56" s="4">
        <v>2.46E7</v>
      </c>
      <c r="CT56" s="4">
        <v>3.0103E7</v>
      </c>
      <c r="CU56" s="4">
        <v>1.23E7</v>
      </c>
      <c r="CV56" s="4">
        <v>2.17E7</v>
      </c>
      <c r="CW56" s="4">
        <v>2.17E7</v>
      </c>
      <c r="CX56" s="4">
        <v>2.1937E7</v>
      </c>
      <c r="CY56" s="4">
        <v>5400000.0</v>
      </c>
      <c r="CZ56" s="4">
        <v>5300000.0</v>
      </c>
      <c r="DA56" s="4">
        <v>7800000.0</v>
      </c>
      <c r="DB56" s="4">
        <v>5571000.0</v>
      </c>
      <c r="DC56" s="4">
        <v>3600000.0</v>
      </c>
      <c r="DD56" s="4">
        <v>3600000.0</v>
      </c>
      <c r="DE56" s="4">
        <v>3600000.0</v>
      </c>
      <c r="DF56" s="4">
        <v>2993000.0</v>
      </c>
      <c r="DG56" s="4">
        <v>3400000.0</v>
      </c>
      <c r="DH56" s="4">
        <v>3400000.0</v>
      </c>
      <c r="DI56" s="4">
        <v>3400000.0</v>
      </c>
      <c r="DJ56" s="4">
        <v>3382000.0</v>
      </c>
      <c r="DK56" s="4">
        <v>2600000.0</v>
      </c>
      <c r="DL56" s="4">
        <v>2600000.0</v>
      </c>
      <c r="DM56" s="4">
        <v>2600000.0</v>
      </c>
      <c r="DN56" s="4">
        <v>2600000.0</v>
      </c>
      <c r="DO56" s="4">
        <v>2600000.0</v>
      </c>
      <c r="DP56" s="4">
        <v>2600000.0</v>
      </c>
      <c r="DQ56" s="4">
        <v>2600000.0</v>
      </c>
      <c r="DR56" s="4">
        <v>2600000.0</v>
      </c>
      <c r="DS56" s="4">
        <v>2900000.0</v>
      </c>
      <c r="DT56" s="4">
        <v>2900000.0</v>
      </c>
      <c r="DU56" s="4">
        <v>2800000.0</v>
      </c>
      <c r="DV56" s="4">
        <v>2800000.0</v>
      </c>
      <c r="DW56" s="4">
        <v>1800000.0</v>
      </c>
      <c r="DX56" s="4">
        <v>1600000.0</v>
      </c>
      <c r="DY56" s="4">
        <v>1800000.0</v>
      </c>
      <c r="DZ56" s="4">
        <v>1800000.0</v>
      </c>
      <c r="EA56" s="4">
        <v>1400000.0</v>
      </c>
      <c r="EB56" s="4">
        <v>1300000.0</v>
      </c>
      <c r="EC56" s="4">
        <v>1300000.0</v>
      </c>
      <c r="ED56" s="4">
        <v>1300000.0</v>
      </c>
      <c r="EE56" s="4">
        <v>1100000.0</v>
      </c>
      <c r="EF56" s="4">
        <v>700000.0</v>
      </c>
      <c r="EG56" s="4">
        <v>700000.0</v>
      </c>
      <c r="EH56" s="4">
        <v>5100000.0</v>
      </c>
      <c r="EI56" s="4">
        <v>6100000.0</v>
      </c>
      <c r="EJ56" s="4">
        <v>5200000.0</v>
      </c>
    </row>
    <row r="57">
      <c r="A57" s="1" t="s">
        <v>56</v>
      </c>
      <c r="P57" s="1">
        <v>0.0</v>
      </c>
      <c r="T57" s="4">
        <v>4.0303E7</v>
      </c>
      <c r="X57" s="4">
        <v>4.4781E7</v>
      </c>
      <c r="AB57" s="4">
        <v>4.9259E7</v>
      </c>
      <c r="AF57" s="4">
        <v>5.3737E7</v>
      </c>
      <c r="AJ57" s="4">
        <v>5.8215E7</v>
      </c>
      <c r="AN57" s="4">
        <v>6.2693E7</v>
      </c>
    </row>
    <row r="58">
      <c r="A58" s="1" t="s">
        <v>57</v>
      </c>
      <c r="H58" s="1">
        <v>0.0</v>
      </c>
      <c r="L58" s="4">
        <v>8.1488E7</v>
      </c>
      <c r="CJ58" s="4">
        <v>1.62E8</v>
      </c>
      <c r="CK58" s="4">
        <v>1.62E8</v>
      </c>
      <c r="CL58" s="4">
        <v>1.62E8</v>
      </c>
    </row>
    <row r="59">
      <c r="A59" s="1" t="s">
        <v>58</v>
      </c>
      <c r="X59" s="4">
        <v>1.34256E8</v>
      </c>
      <c r="AB59" s="4">
        <v>1.37743E8</v>
      </c>
      <c r="AF59" s="4">
        <v>1.37798E8</v>
      </c>
      <c r="AJ59" s="4">
        <v>1.40916E8</v>
      </c>
      <c r="AN59" s="4">
        <v>1.45162E8</v>
      </c>
      <c r="AR59" s="4">
        <v>1.37451E8</v>
      </c>
    </row>
    <row r="60">
      <c r="A60" s="1" t="s">
        <v>59</v>
      </c>
      <c r="AJ60" s="4">
        <v>2.0266E7</v>
      </c>
      <c r="AN60" s="4">
        <v>1.7604E7</v>
      </c>
      <c r="AR60" s="4">
        <v>1.8404E7</v>
      </c>
    </row>
    <row r="61">
      <c r="A61" s="1" t="s">
        <v>60</v>
      </c>
      <c r="AT61" s="4">
        <v>5601000.0</v>
      </c>
      <c r="AU61" s="4">
        <v>5644000.0</v>
      </c>
      <c r="AV61" s="4">
        <v>6087000.0</v>
      </c>
      <c r="AW61" s="4">
        <v>7309000.0</v>
      </c>
      <c r="AX61" s="4">
        <v>9271000.0</v>
      </c>
      <c r="AY61" s="4">
        <v>9267000.0</v>
      </c>
      <c r="AZ61" s="4">
        <v>9153000.0</v>
      </c>
      <c r="BA61" s="4">
        <v>1.4783E7</v>
      </c>
      <c r="BB61" s="4">
        <v>1.4927E7</v>
      </c>
      <c r="BC61" s="4">
        <v>1.6624E7</v>
      </c>
      <c r="BD61" s="4">
        <v>1.8486E7</v>
      </c>
      <c r="BE61" s="4">
        <v>1.5131E7</v>
      </c>
      <c r="BF61" s="4">
        <v>1.5281E7</v>
      </c>
      <c r="BG61" s="4">
        <v>1.435E7</v>
      </c>
      <c r="BH61" s="4">
        <v>1.3924E7</v>
      </c>
      <c r="BI61" s="4">
        <v>1.315E7</v>
      </c>
      <c r="BJ61" s="4">
        <v>1.1157E7</v>
      </c>
      <c r="BK61" s="4">
        <v>9112000.0</v>
      </c>
      <c r="BL61" s="4">
        <v>9122000.0</v>
      </c>
    </row>
    <row r="62">
      <c r="A62" s="1" t="s">
        <v>61</v>
      </c>
      <c r="B62" s="4">
        <v>2.40408E8</v>
      </c>
      <c r="C62" s="4">
        <v>2.27969E8</v>
      </c>
      <c r="D62" s="4">
        <v>2.20761E8</v>
      </c>
      <c r="E62" s="4">
        <v>2.37456E8</v>
      </c>
      <c r="F62" s="4">
        <v>2.16105E8</v>
      </c>
      <c r="G62" s="4">
        <v>2.29187E8</v>
      </c>
      <c r="H62" s="4">
        <v>1.97997E8</v>
      </c>
      <c r="I62" s="4">
        <v>2.77831E8</v>
      </c>
      <c r="J62" s="4">
        <v>2.71631E8</v>
      </c>
      <c r="K62" s="4">
        <v>2.71793E8</v>
      </c>
      <c r="L62" s="4">
        <v>2.63691E8</v>
      </c>
      <c r="M62" s="4">
        <v>1.78418E8</v>
      </c>
      <c r="N62" s="4">
        <v>1.76396E8</v>
      </c>
      <c r="O62" s="4">
        <v>1.71553E8</v>
      </c>
      <c r="P62" s="4">
        <v>1.72676E8</v>
      </c>
      <c r="Q62" s="4">
        <v>1.73003E8</v>
      </c>
      <c r="R62" s="4">
        <v>1.7398E8</v>
      </c>
      <c r="S62" s="4">
        <v>1.73985E8</v>
      </c>
      <c r="T62" s="4">
        <v>2.98361E8</v>
      </c>
      <c r="U62" s="4">
        <v>2.97446E8</v>
      </c>
      <c r="V62" s="4">
        <v>3.02962E8</v>
      </c>
      <c r="W62" s="4">
        <v>3.03933E8</v>
      </c>
      <c r="X62" s="4">
        <v>3.05944E8</v>
      </c>
      <c r="Y62" s="4">
        <v>2.82432E8</v>
      </c>
      <c r="Z62" s="4">
        <v>2.84025E8</v>
      </c>
      <c r="AA62" s="4">
        <v>2.80858E8</v>
      </c>
      <c r="AB62" s="4">
        <v>2.79782E8</v>
      </c>
      <c r="AC62" s="4">
        <v>2.8514E8</v>
      </c>
      <c r="AD62" s="4">
        <v>2.80767E8</v>
      </c>
      <c r="AE62" s="4">
        <v>2.79118E8</v>
      </c>
      <c r="AF62" s="4">
        <v>2.75283E8</v>
      </c>
      <c r="AG62" s="4">
        <v>2.79547E8</v>
      </c>
      <c r="AH62" s="4">
        <v>2.8162E8</v>
      </c>
      <c r="AI62" s="4">
        <v>2.855E8</v>
      </c>
      <c r="AJ62" s="4">
        <v>2.85309E8</v>
      </c>
      <c r="AK62" s="4">
        <v>2.87812E8</v>
      </c>
      <c r="AL62" s="4">
        <v>2.96283E8</v>
      </c>
      <c r="AM62" s="4">
        <v>2.99696E8</v>
      </c>
      <c r="AN62" s="4">
        <v>2.96546E8</v>
      </c>
      <c r="AO62" s="4">
        <v>2.30798E8</v>
      </c>
      <c r="AP62" s="4">
        <v>2.35046E8</v>
      </c>
      <c r="AQ62" s="4">
        <v>2.32631E8</v>
      </c>
      <c r="AR62" s="4">
        <v>4.6161E7</v>
      </c>
      <c r="AS62" s="4">
        <v>2.25699E8</v>
      </c>
      <c r="AT62" s="4">
        <v>2.22008E8</v>
      </c>
      <c r="AU62" s="4">
        <v>2.31427E8</v>
      </c>
      <c r="AV62" s="4">
        <v>2.29149E8</v>
      </c>
      <c r="AW62" s="4">
        <v>2.3395E8</v>
      </c>
      <c r="AX62" s="4">
        <v>2.15875E8</v>
      </c>
      <c r="AY62" s="4">
        <v>2.30043E8</v>
      </c>
      <c r="AZ62" s="4">
        <v>2.31582E8</v>
      </c>
      <c r="BA62" s="4">
        <v>2.54669E8</v>
      </c>
      <c r="BB62" s="4">
        <v>2.79423E8</v>
      </c>
      <c r="BC62" s="4">
        <v>2.77989E8</v>
      </c>
      <c r="BD62" s="4">
        <v>3.02348E8</v>
      </c>
      <c r="BE62" s="4">
        <v>2.98622E8</v>
      </c>
      <c r="BF62" s="4">
        <v>2.80726E8</v>
      </c>
      <c r="BG62" s="4">
        <v>2.83916E8</v>
      </c>
      <c r="BH62" s="4">
        <v>2.89288E8</v>
      </c>
      <c r="BI62" s="4">
        <v>2.56103E8</v>
      </c>
      <c r="BJ62" s="4">
        <v>3.05636E8</v>
      </c>
      <c r="BK62" s="4">
        <v>3.02384E8</v>
      </c>
      <c r="BL62" s="4">
        <v>3.19714E8</v>
      </c>
      <c r="BM62" s="4">
        <v>2.66886E8</v>
      </c>
      <c r="BN62" s="4">
        <v>1.58341E8</v>
      </c>
    </row>
    <row r="63">
      <c r="A63" s="1" t="s">
        <v>62</v>
      </c>
      <c r="B63" s="4">
        <v>6.297705E9</v>
      </c>
      <c r="C63" s="4">
        <v>5.935251E9</v>
      </c>
      <c r="D63" s="4">
        <v>5.541772E9</v>
      </c>
      <c r="E63" s="4">
        <v>6.093806E9</v>
      </c>
      <c r="F63" s="4">
        <v>6.188491E9</v>
      </c>
      <c r="G63" s="4">
        <v>5.961624E9</v>
      </c>
      <c r="H63" s="4">
        <v>6.261986E9</v>
      </c>
      <c r="I63" s="4">
        <v>6.189801E9</v>
      </c>
      <c r="J63" s="4">
        <v>6.137135E9</v>
      </c>
      <c r="K63" s="4">
        <v>6.249925E9</v>
      </c>
      <c r="L63" s="4">
        <v>6.661238E9</v>
      </c>
      <c r="M63" s="4">
        <v>6.985519E9</v>
      </c>
      <c r="N63" s="4">
        <v>7.356071E9</v>
      </c>
      <c r="O63" s="4">
        <v>7.209454E9</v>
      </c>
      <c r="P63" s="4">
        <v>6.7025E9</v>
      </c>
      <c r="Q63" s="4">
        <v>6.648295E9</v>
      </c>
      <c r="R63" s="4">
        <v>6.74916E9</v>
      </c>
      <c r="S63" s="4">
        <v>6.572669E9</v>
      </c>
      <c r="T63" s="4">
        <v>6.417393E9</v>
      </c>
      <c r="U63" s="4">
        <v>6.355888E9</v>
      </c>
      <c r="V63" s="4">
        <v>6.378942E9</v>
      </c>
      <c r="W63" s="4">
        <v>6.236318E9</v>
      </c>
      <c r="X63" s="4">
        <v>6.125774E9</v>
      </c>
      <c r="Y63" s="4">
        <v>5.744155E9</v>
      </c>
      <c r="Z63" s="4">
        <v>5.687095E9</v>
      </c>
      <c r="AA63" s="4">
        <v>5.528881E9</v>
      </c>
      <c r="AB63" s="4">
        <v>5.406294E9</v>
      </c>
      <c r="AC63" s="4">
        <v>5.361852E9</v>
      </c>
      <c r="AD63" s="4">
        <v>5.413361E9</v>
      </c>
      <c r="AE63" s="4">
        <v>5.388383E9</v>
      </c>
      <c r="AF63" s="4">
        <v>5.377876E9</v>
      </c>
      <c r="AG63" s="4">
        <v>5.343593E9</v>
      </c>
      <c r="AH63" s="4">
        <v>5.418934E9</v>
      </c>
      <c r="AI63" s="4">
        <v>5.385858E9</v>
      </c>
      <c r="AJ63" s="4">
        <v>5.710038E9</v>
      </c>
      <c r="AK63" s="4">
        <v>5.343637E9</v>
      </c>
      <c r="AL63" s="4">
        <v>5.095993E9</v>
      </c>
      <c r="AM63" s="4">
        <v>4.832227E9</v>
      </c>
      <c r="AN63" s="4">
        <v>5.402193E9</v>
      </c>
      <c r="AO63" s="4">
        <v>5.274954E9</v>
      </c>
      <c r="AP63" s="4">
        <v>5.231476E9</v>
      </c>
      <c r="AQ63" s="4">
        <v>5.178899E9</v>
      </c>
      <c r="AR63" s="4">
        <v>4.98533E9</v>
      </c>
      <c r="AS63" s="4">
        <v>4.734862E9</v>
      </c>
      <c r="AT63" s="4">
        <v>4.81041E9</v>
      </c>
      <c r="AU63" s="4">
        <v>4.591432E9</v>
      </c>
      <c r="AV63" s="4">
        <v>4.668495E9</v>
      </c>
      <c r="AW63" s="4">
        <v>4.554012E9</v>
      </c>
      <c r="AX63" s="4">
        <v>4.373564E9</v>
      </c>
      <c r="AY63" s="4">
        <v>4.219656E9</v>
      </c>
      <c r="AZ63" s="4">
        <v>4.054479E9</v>
      </c>
      <c r="BA63" s="4">
        <v>3.81739E9</v>
      </c>
      <c r="BB63" s="4">
        <v>3.682844E9</v>
      </c>
      <c r="BC63" s="4">
        <v>3.536526E9</v>
      </c>
      <c r="BD63" s="4">
        <v>3.390298E9</v>
      </c>
      <c r="BE63" s="4">
        <v>2.855414E9</v>
      </c>
      <c r="BF63" s="4">
        <v>3.016538E9</v>
      </c>
      <c r="BG63" s="4">
        <v>2.916585E9</v>
      </c>
      <c r="BH63" s="4">
        <v>2.831695E9</v>
      </c>
      <c r="BI63" s="4">
        <v>2.763464E9</v>
      </c>
      <c r="BJ63" s="4">
        <v>2.766803E9</v>
      </c>
      <c r="BK63" s="4">
        <v>2.730607E9</v>
      </c>
      <c r="BL63" s="4">
        <v>2.703873E9</v>
      </c>
      <c r="BM63" s="4">
        <v>1.796777E9</v>
      </c>
      <c r="BN63" s="4">
        <v>1.745747E9</v>
      </c>
      <c r="BO63" s="4">
        <v>1.702941E9</v>
      </c>
      <c r="BP63" s="4">
        <v>1.721477E9</v>
      </c>
      <c r="BQ63" s="4">
        <v>1.686814E9</v>
      </c>
      <c r="BR63" s="4">
        <v>1.720795E9</v>
      </c>
      <c r="BS63" s="4">
        <v>1.614287E9</v>
      </c>
      <c r="BT63" s="4">
        <v>1.647817E9</v>
      </c>
      <c r="BU63" s="4">
        <v>1.727966E9</v>
      </c>
      <c r="BV63" s="4">
        <v>1.684465E9</v>
      </c>
      <c r="BW63" s="4">
        <v>1.57749E9</v>
      </c>
      <c r="BX63" s="4">
        <v>1.538876E9</v>
      </c>
      <c r="BY63" s="4">
        <v>1.488083E9</v>
      </c>
      <c r="BZ63" s="4">
        <v>1.57692E9</v>
      </c>
      <c r="CA63" s="4">
        <v>1.50166E9</v>
      </c>
      <c r="CB63" s="4">
        <v>1.402145E9</v>
      </c>
      <c r="CC63" s="4">
        <v>1.337747E9</v>
      </c>
      <c r="CD63" s="4">
        <v>1.288068E9</v>
      </c>
      <c r="CE63" s="4">
        <v>1.190351E9</v>
      </c>
      <c r="CF63" s="4">
        <v>1.131354E9</v>
      </c>
      <c r="CG63" s="4">
        <v>1.08866E9</v>
      </c>
      <c r="CH63" s="4">
        <v>1.041718E9</v>
      </c>
      <c r="CI63" s="4">
        <v>9.5316E8</v>
      </c>
      <c r="CJ63" s="4">
        <v>9.1603E8</v>
      </c>
      <c r="CK63" s="4">
        <v>8.9562E8</v>
      </c>
      <c r="CL63" s="4">
        <v>8.61763E8</v>
      </c>
      <c r="CM63" s="4">
        <v>1.005389E9</v>
      </c>
      <c r="CN63" s="4">
        <v>9.46359E8</v>
      </c>
      <c r="CO63" s="4">
        <v>9.07506E8</v>
      </c>
      <c r="CP63" s="4">
        <v>9.25921E8</v>
      </c>
      <c r="CQ63" s="4">
        <v>8.621E8</v>
      </c>
      <c r="CR63" s="4">
        <v>8.372E8</v>
      </c>
      <c r="CS63" s="4">
        <v>7.875E8</v>
      </c>
      <c r="CT63" s="4">
        <v>7.25761E8</v>
      </c>
      <c r="CU63" s="4">
        <v>6.52E8</v>
      </c>
      <c r="CV63" s="4">
        <v>6.438E8</v>
      </c>
      <c r="CW63" s="4">
        <v>5.967E8</v>
      </c>
      <c r="CX63" s="4">
        <v>5.83896E8</v>
      </c>
      <c r="CY63" s="4">
        <v>5.169E8</v>
      </c>
      <c r="CZ63" s="4">
        <v>5.595E8</v>
      </c>
      <c r="DA63" s="4">
        <v>5.194E8</v>
      </c>
      <c r="DB63" s="4">
        <v>4.85529E8</v>
      </c>
      <c r="DC63" s="4">
        <v>4.344E8</v>
      </c>
      <c r="DD63" s="4">
        <v>4.496E8</v>
      </c>
      <c r="DE63" s="4">
        <v>4.354E8</v>
      </c>
      <c r="DF63" s="4">
        <v>4.20011E8</v>
      </c>
      <c r="DG63" s="4">
        <v>3.831E8</v>
      </c>
      <c r="DH63" s="4">
        <v>3.639E8</v>
      </c>
      <c r="DI63" s="4">
        <v>3.346E8</v>
      </c>
      <c r="DJ63" s="4">
        <v>3.23756E8</v>
      </c>
      <c r="DK63" s="4">
        <v>2.864E8</v>
      </c>
      <c r="DL63" s="4">
        <v>2.695E8</v>
      </c>
      <c r="DM63" s="4">
        <v>2.565E8</v>
      </c>
      <c r="DN63" s="4">
        <v>2.407E8</v>
      </c>
      <c r="DO63" s="4">
        <v>2.194E8</v>
      </c>
      <c r="DP63" s="4">
        <v>2.065E8</v>
      </c>
      <c r="DQ63" s="4">
        <v>1.946E8</v>
      </c>
      <c r="DR63" s="4">
        <v>1.898E8</v>
      </c>
      <c r="DS63" s="4">
        <v>1.689E8</v>
      </c>
      <c r="DT63" s="4">
        <v>1.603E8</v>
      </c>
      <c r="DU63" s="4">
        <v>1.537E8</v>
      </c>
      <c r="DV63" s="4">
        <v>1.51E8</v>
      </c>
      <c r="DW63" s="4">
        <v>1.381E8</v>
      </c>
      <c r="DX63" s="4">
        <v>1.344E8</v>
      </c>
      <c r="DY63" s="4">
        <v>1.319E8</v>
      </c>
      <c r="DZ63" s="4">
        <v>1.317E8</v>
      </c>
      <c r="EA63" s="4">
        <v>1.236E8</v>
      </c>
      <c r="EB63" s="4">
        <v>1.218E8</v>
      </c>
      <c r="EC63" s="4">
        <v>1.201E8</v>
      </c>
      <c r="ED63" s="4">
        <v>1.206E8</v>
      </c>
      <c r="EE63" s="4">
        <v>1.143E8</v>
      </c>
      <c r="EF63" s="4">
        <v>1.123E8</v>
      </c>
      <c r="EG63" s="4">
        <v>1.116E8</v>
      </c>
      <c r="EH63" s="4">
        <v>1.095E8</v>
      </c>
      <c r="EI63" s="4">
        <v>1.088E8</v>
      </c>
      <c r="EJ63" s="4">
        <v>1.08E8</v>
      </c>
    </row>
    <row r="64">
      <c r="A64" s="1" t="s">
        <v>63</v>
      </c>
      <c r="B64" s="4">
        <v>6.297705E9</v>
      </c>
      <c r="C64" s="4">
        <v>5.935251E9</v>
      </c>
      <c r="D64" s="4">
        <v>5.541772E9</v>
      </c>
      <c r="E64" s="4">
        <v>6.093806E9</v>
      </c>
      <c r="F64" s="4">
        <v>6.188491E9</v>
      </c>
      <c r="G64" s="4">
        <v>5.961624E9</v>
      </c>
      <c r="H64" s="4">
        <v>6.261986E9</v>
      </c>
      <c r="I64" s="4">
        <v>6.189801E9</v>
      </c>
      <c r="J64" s="4">
        <v>6.137135E9</v>
      </c>
      <c r="K64" s="4">
        <v>6.249925E9</v>
      </c>
      <c r="L64" s="4">
        <v>6.661238E9</v>
      </c>
      <c r="M64" s="4">
        <v>6.985519E9</v>
      </c>
      <c r="N64" s="4">
        <v>7.356071E9</v>
      </c>
      <c r="O64" s="4">
        <v>7.209454E9</v>
      </c>
      <c r="P64" s="4">
        <v>6.7025E9</v>
      </c>
      <c r="Q64" s="4">
        <v>6.648295E9</v>
      </c>
      <c r="R64" s="4">
        <v>6.74916E9</v>
      </c>
      <c r="S64" s="4">
        <v>6.572669E9</v>
      </c>
      <c r="T64" s="4">
        <v>6.417393E9</v>
      </c>
      <c r="U64" s="4">
        <v>6.355888E9</v>
      </c>
      <c r="V64" s="4">
        <v>6.378942E9</v>
      </c>
      <c r="W64" s="4">
        <v>6.236318E9</v>
      </c>
      <c r="X64" s="4">
        <v>6.125774E9</v>
      </c>
      <c r="Y64" s="4">
        <v>5.744155E9</v>
      </c>
      <c r="Z64" s="4">
        <v>5.687095E9</v>
      </c>
      <c r="AA64" s="4">
        <v>5.528881E9</v>
      </c>
      <c r="AB64" s="4">
        <v>5.406294E9</v>
      </c>
      <c r="AC64" s="4">
        <v>5.361852E9</v>
      </c>
      <c r="AD64" s="4">
        <v>5.413361E9</v>
      </c>
      <c r="AE64" s="4">
        <v>5.388383E9</v>
      </c>
      <c r="AF64" s="4">
        <v>5.377876E9</v>
      </c>
      <c r="AG64" s="4">
        <v>5.343593E9</v>
      </c>
      <c r="AH64" s="4">
        <v>5.418934E9</v>
      </c>
      <c r="AI64" s="4">
        <v>5.385858E9</v>
      </c>
      <c r="AJ64" s="4">
        <v>5.710038E9</v>
      </c>
      <c r="AK64" s="4">
        <v>5.343637E9</v>
      </c>
      <c r="AL64" s="4">
        <v>5.095993E9</v>
      </c>
      <c r="AM64" s="4">
        <v>4.832227E9</v>
      </c>
      <c r="AN64" s="4">
        <v>5.402193E9</v>
      </c>
      <c r="AO64" s="4">
        <v>5.274954E9</v>
      </c>
      <c r="AP64" s="4">
        <v>5.231476E9</v>
      </c>
      <c r="AQ64" s="4">
        <v>5.178899E9</v>
      </c>
      <c r="AR64" s="4">
        <v>4.98533E9</v>
      </c>
      <c r="AS64" s="4">
        <v>4.734862E9</v>
      </c>
      <c r="AT64" s="4">
        <v>4.81041E9</v>
      </c>
      <c r="AU64" s="4">
        <v>4.591432E9</v>
      </c>
      <c r="AV64" s="4">
        <v>4.668495E9</v>
      </c>
      <c r="AW64" s="4">
        <v>4.554012E9</v>
      </c>
      <c r="AX64" s="4">
        <v>4.373564E9</v>
      </c>
      <c r="AY64" s="4">
        <v>4.219656E9</v>
      </c>
      <c r="AZ64" s="4">
        <v>4.054479E9</v>
      </c>
      <c r="BA64" s="4">
        <v>3.81739E9</v>
      </c>
      <c r="BB64" s="4">
        <v>3.682844E9</v>
      </c>
      <c r="BC64" s="4">
        <v>3.536526E9</v>
      </c>
      <c r="BD64" s="4">
        <v>3.390298E9</v>
      </c>
      <c r="BE64" s="4">
        <v>2.855414E9</v>
      </c>
      <c r="BF64" s="4">
        <v>3.016538E9</v>
      </c>
      <c r="BG64" s="4">
        <v>2.916585E9</v>
      </c>
      <c r="BH64" s="4">
        <v>2.831695E9</v>
      </c>
      <c r="BI64" s="4">
        <v>2.763464E9</v>
      </c>
      <c r="BJ64" s="4">
        <v>2.766803E9</v>
      </c>
      <c r="BK64" s="4">
        <v>2.730607E9</v>
      </c>
      <c r="BL64" s="4">
        <v>2.703873E9</v>
      </c>
      <c r="BM64" s="4">
        <v>1.796777E9</v>
      </c>
      <c r="BN64" s="4">
        <v>1.745747E9</v>
      </c>
      <c r="BO64" s="4">
        <v>1.702941E9</v>
      </c>
      <c r="BP64" s="4">
        <v>1.721477E9</v>
      </c>
      <c r="BQ64" s="4">
        <v>1.686814E9</v>
      </c>
      <c r="BR64" s="4">
        <v>1.720795E9</v>
      </c>
      <c r="BS64" s="4">
        <v>1.614287E9</v>
      </c>
      <c r="BT64" s="4">
        <v>1.647817E9</v>
      </c>
      <c r="BU64" s="4">
        <v>1.727966E9</v>
      </c>
      <c r="BV64" s="4">
        <v>1.684465E9</v>
      </c>
      <c r="BW64" s="4">
        <v>1.57749E9</v>
      </c>
      <c r="BX64" s="4">
        <v>1.538876E9</v>
      </c>
      <c r="BY64" s="4">
        <v>1.488083E9</v>
      </c>
      <c r="BZ64" s="4">
        <v>1.57692E9</v>
      </c>
      <c r="CA64" s="4">
        <v>1.50166E9</v>
      </c>
      <c r="CB64" s="4">
        <v>1.402145E9</v>
      </c>
      <c r="CC64" s="4">
        <v>1.337747E9</v>
      </c>
      <c r="CD64" s="4">
        <v>1.288068E9</v>
      </c>
      <c r="CE64" s="4">
        <v>1.190351E9</v>
      </c>
      <c r="CF64" s="4">
        <v>1.131354E9</v>
      </c>
      <c r="CG64" s="4">
        <v>1.08866E9</v>
      </c>
      <c r="CH64" s="4">
        <v>1.041718E9</v>
      </c>
      <c r="CI64" s="4">
        <v>9.5316E8</v>
      </c>
      <c r="CJ64" s="4">
        <v>9.1603E8</v>
      </c>
      <c r="CK64" s="4">
        <v>8.9562E8</v>
      </c>
      <c r="CL64" s="4">
        <v>8.61763E8</v>
      </c>
      <c r="CM64" s="4">
        <v>1.005389E9</v>
      </c>
      <c r="CN64" s="4">
        <v>9.46359E8</v>
      </c>
      <c r="CO64" s="4">
        <v>9.07506E8</v>
      </c>
      <c r="CP64" s="4">
        <v>9.25921E8</v>
      </c>
      <c r="CQ64" s="4">
        <v>8.621E8</v>
      </c>
      <c r="CR64" s="4">
        <v>8.372E8</v>
      </c>
      <c r="CS64" s="4">
        <v>7.875E8</v>
      </c>
      <c r="CT64" s="4">
        <v>7.25761E8</v>
      </c>
      <c r="CU64" s="4">
        <v>6.52E8</v>
      </c>
      <c r="CV64" s="4">
        <v>6.438E8</v>
      </c>
      <c r="CW64" s="4">
        <v>5.967E8</v>
      </c>
      <c r="CX64" s="4">
        <v>5.83896E8</v>
      </c>
      <c r="CY64" s="4">
        <v>5.169E8</v>
      </c>
      <c r="CZ64" s="4">
        <v>5.595E8</v>
      </c>
      <c r="DA64" s="4">
        <v>5.194E8</v>
      </c>
      <c r="DB64" s="4">
        <v>4.85529E8</v>
      </c>
      <c r="DC64" s="4">
        <v>4.344E8</v>
      </c>
      <c r="DD64" s="4">
        <v>4.496E8</v>
      </c>
      <c r="DE64" s="4">
        <v>4.354E8</v>
      </c>
      <c r="DF64" s="4">
        <v>4.20011E8</v>
      </c>
      <c r="DG64" s="4">
        <v>3.831E8</v>
      </c>
      <c r="DH64" s="4">
        <v>3.639E8</v>
      </c>
      <c r="DI64" s="4">
        <v>3.346E8</v>
      </c>
      <c r="DJ64" s="4">
        <v>3.23756E8</v>
      </c>
      <c r="DK64" s="4">
        <v>2.864E8</v>
      </c>
      <c r="DL64" s="4">
        <v>2.695E8</v>
      </c>
      <c r="DM64" s="4">
        <v>2.565E8</v>
      </c>
      <c r="DN64" s="4">
        <v>2.407E8</v>
      </c>
      <c r="DO64" s="4">
        <v>2.194E8</v>
      </c>
      <c r="DP64" s="4">
        <v>2.065E8</v>
      </c>
      <c r="DQ64" s="4">
        <v>1.946E8</v>
      </c>
      <c r="DR64" s="4">
        <v>1.898E8</v>
      </c>
      <c r="DS64" s="4">
        <v>1.689E8</v>
      </c>
      <c r="DT64" s="4">
        <v>1.603E8</v>
      </c>
      <c r="DU64" s="4">
        <v>1.537E8</v>
      </c>
      <c r="DV64" s="4">
        <v>1.51E8</v>
      </c>
      <c r="DW64" s="4">
        <v>1.381E8</v>
      </c>
      <c r="DX64" s="4">
        <v>1.344E8</v>
      </c>
      <c r="DY64" s="4">
        <v>1.319E8</v>
      </c>
      <c r="DZ64" s="4">
        <v>1.317E8</v>
      </c>
      <c r="EA64" s="4">
        <v>1.236E8</v>
      </c>
      <c r="EB64" s="4">
        <v>1.218E8</v>
      </c>
      <c r="EC64" s="4">
        <v>1.201E8</v>
      </c>
      <c r="ED64" s="4">
        <v>1.206E8</v>
      </c>
      <c r="EE64" s="4">
        <v>1.143E8</v>
      </c>
      <c r="EF64" s="4">
        <v>1.123E8</v>
      </c>
      <c r="EG64" s="4">
        <v>1.116E8</v>
      </c>
      <c r="EH64" s="4">
        <v>1.095E8</v>
      </c>
      <c r="EI64" s="4">
        <v>1.088E8</v>
      </c>
      <c r="EJ64" s="4">
        <v>1.08E8</v>
      </c>
    </row>
    <row r="65">
      <c r="A65" s="1" t="s">
        <v>64</v>
      </c>
      <c r="B65" s="4">
        <v>1.92039E8</v>
      </c>
      <c r="C65" s="4">
        <v>1.91921E8</v>
      </c>
      <c r="D65" s="4">
        <v>1.91718E8</v>
      </c>
      <c r="E65" s="4">
        <v>1.95629E8</v>
      </c>
      <c r="F65" s="4">
        <v>1.97372E8</v>
      </c>
      <c r="G65" s="4">
        <v>1.98623E8</v>
      </c>
      <c r="H65" s="4">
        <v>2.01265E8</v>
      </c>
      <c r="I65" s="4">
        <v>2.02743E8</v>
      </c>
      <c r="J65" s="4">
        <v>2.04142E8</v>
      </c>
      <c r="K65" s="4">
        <v>2.0668E8</v>
      </c>
      <c r="L65" s="4">
        <v>2.10687E8</v>
      </c>
      <c r="M65" s="4">
        <v>2.14375E8</v>
      </c>
      <c r="N65" s="4">
        <v>2.17906E8</v>
      </c>
      <c r="O65" s="4">
        <v>2.20259E8</v>
      </c>
      <c r="P65" s="4">
        <v>2.20444E8</v>
      </c>
      <c r="Q65" s="4">
        <v>2.22775E8</v>
      </c>
      <c r="R65" s="4">
        <v>2.24935E8</v>
      </c>
      <c r="S65" s="4">
        <v>2.26032E8</v>
      </c>
      <c r="T65" s="4">
        <v>2.27072E8</v>
      </c>
      <c r="U65" s="4">
        <v>2.30022E8</v>
      </c>
      <c r="V65" s="4">
        <v>2.3234E8</v>
      </c>
      <c r="W65" s="4">
        <v>2.34109E8</v>
      </c>
      <c r="X65" s="4">
        <v>2.35141E8</v>
      </c>
      <c r="Y65" s="4">
        <v>2.37598E8</v>
      </c>
      <c r="Z65" s="4">
        <v>2.39101E8</v>
      </c>
      <c r="AA65" s="4">
        <v>2.39947E8</v>
      </c>
      <c r="AB65" s="4">
        <v>2.40811E8</v>
      </c>
      <c r="AC65" s="4">
        <v>2.44457E8</v>
      </c>
      <c r="AD65" s="4">
        <v>2.46983E8</v>
      </c>
      <c r="AE65" s="4">
        <v>2.49096E8</v>
      </c>
      <c r="AF65" s="4">
        <v>2.50855E8</v>
      </c>
      <c r="AG65" s="4">
        <v>2.54697E8</v>
      </c>
      <c r="AH65" s="4">
        <v>2.57968E8</v>
      </c>
      <c r="AI65" s="4">
        <v>2.60111E8</v>
      </c>
      <c r="AJ65" s="4">
        <v>2.65514E8</v>
      </c>
      <c r="AK65" s="4">
        <v>2.65495E8</v>
      </c>
      <c r="AL65" s="4">
        <v>2.65458E8</v>
      </c>
      <c r="AM65" s="4">
        <v>2.65379E8</v>
      </c>
      <c r="AN65" s="4">
        <v>2.77424E8</v>
      </c>
      <c r="AO65" s="4">
        <v>2.80215E8</v>
      </c>
      <c r="AP65" s="4">
        <v>2.8312E8</v>
      </c>
      <c r="AQ65" s="4">
        <v>2.86464E8</v>
      </c>
      <c r="AR65" s="4">
        <v>2.86185E8</v>
      </c>
      <c r="AS65" s="4">
        <v>2.87613E8</v>
      </c>
      <c r="AT65" s="4">
        <v>2.91983E8</v>
      </c>
      <c r="AU65" s="4">
        <v>2.90782E8</v>
      </c>
      <c r="AV65" s="4">
        <v>2.95828E8</v>
      </c>
      <c r="AW65" s="4">
        <v>2.99514E8</v>
      </c>
      <c r="AX65" s="4">
        <v>2.98842E8</v>
      </c>
      <c r="AY65" s="4">
        <v>2.98844E8</v>
      </c>
      <c r="AZ65" s="4">
        <v>2.98819E8</v>
      </c>
      <c r="BA65" s="4">
        <v>2.98459E8</v>
      </c>
      <c r="BB65" s="4">
        <v>2.98399E8</v>
      </c>
      <c r="BC65" s="4">
        <v>2.98371E8</v>
      </c>
      <c r="BD65" s="4">
        <v>2.98013E8</v>
      </c>
      <c r="BE65" s="4">
        <v>2.78202E8</v>
      </c>
      <c r="BF65" s="4">
        <v>2.78217E8</v>
      </c>
      <c r="BG65" s="4">
        <v>2.78159E8</v>
      </c>
      <c r="BH65" s="4">
        <v>2.78114E8</v>
      </c>
      <c r="BI65" s="4">
        <v>2.77938E8</v>
      </c>
      <c r="BJ65" s="4">
        <v>2.77712E8</v>
      </c>
      <c r="BK65" s="4">
        <v>2.7774E8</v>
      </c>
      <c r="BL65" s="4">
        <v>2.77741E8</v>
      </c>
      <c r="BM65" s="4">
        <v>1.57298E8</v>
      </c>
      <c r="BN65" s="4">
        <v>1.56218E8</v>
      </c>
      <c r="BO65" s="4">
        <v>1.56024E8</v>
      </c>
      <c r="BP65" s="4">
        <v>1.56E8</v>
      </c>
      <c r="BQ65" s="4">
        <v>1.55859E8</v>
      </c>
      <c r="BR65" s="4">
        <v>1.5784E8</v>
      </c>
      <c r="BS65" s="4">
        <v>1.58437E8</v>
      </c>
      <c r="BT65" s="4">
        <v>1.6063E8</v>
      </c>
      <c r="BU65" s="4">
        <v>1.64071E8</v>
      </c>
      <c r="BV65" s="4">
        <v>1.64086E8</v>
      </c>
      <c r="BW65" s="4">
        <v>1.63785E8</v>
      </c>
      <c r="BX65" s="4">
        <v>1.64191E8</v>
      </c>
      <c r="BY65" s="4">
        <v>1.64354E8</v>
      </c>
      <c r="BZ65" s="4">
        <v>1.68095E8</v>
      </c>
      <c r="CA65" s="4">
        <v>1.68415E8</v>
      </c>
      <c r="CB65" s="4">
        <v>1.67345E8</v>
      </c>
      <c r="CC65" s="4">
        <v>1.66762E8</v>
      </c>
      <c r="CD65" s="4">
        <v>1.6667E8</v>
      </c>
      <c r="CE65" s="4">
        <v>1.66691E8</v>
      </c>
      <c r="CF65" s="4">
        <v>1.6667E8</v>
      </c>
      <c r="CG65" s="4">
        <v>1.66462E8</v>
      </c>
      <c r="CH65" s="4">
        <v>1.66359E8</v>
      </c>
      <c r="CI65" s="4">
        <v>1.66302E8</v>
      </c>
      <c r="CJ65" s="4">
        <v>1.66232E8</v>
      </c>
      <c r="CK65" s="4">
        <v>1.66052E8</v>
      </c>
      <c r="CL65" s="4">
        <v>1.65646E8</v>
      </c>
      <c r="CM65" s="4">
        <v>1.65281E8</v>
      </c>
      <c r="CN65" s="4">
        <v>1.64548E8</v>
      </c>
      <c r="CO65" s="4">
        <v>1.64155E8</v>
      </c>
      <c r="CP65" s="4">
        <v>1.32346E8</v>
      </c>
      <c r="CQ65" s="4">
        <v>1.327E8</v>
      </c>
      <c r="CR65" s="4">
        <v>1.331E8</v>
      </c>
      <c r="CT65" s="4">
        <v>1.05979E8</v>
      </c>
      <c r="CX65" s="4">
        <v>8.4384E7</v>
      </c>
      <c r="DB65" s="4">
        <v>5.3963E7</v>
      </c>
      <c r="DF65" s="4">
        <v>4.362E7</v>
      </c>
      <c r="DJ65" s="4">
        <v>3.4829E7</v>
      </c>
    </row>
    <row r="66">
      <c r="A66" s="1" t="s">
        <v>65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0.0</v>
      </c>
      <c r="BP66" s="1">
        <v>0.0</v>
      </c>
      <c r="BQ66" s="1">
        <v>0.0</v>
      </c>
      <c r="BR66" s="1">
        <v>0.0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T66" s="4">
        <v>858000.0</v>
      </c>
      <c r="CX66" s="4">
        <v>858000.0</v>
      </c>
      <c r="DB66" s="4">
        <v>858000.0</v>
      </c>
      <c r="DF66" s="4">
        <v>858000.0</v>
      </c>
      <c r="DJ66" s="4">
        <v>858000.0</v>
      </c>
    </row>
    <row r="67">
      <c r="A67" s="1" t="s">
        <v>66</v>
      </c>
      <c r="B67" s="4">
        <v>1.92039E8</v>
      </c>
      <c r="C67" s="4">
        <v>1.91921E8</v>
      </c>
      <c r="D67" s="4">
        <v>1.91718E8</v>
      </c>
      <c r="E67" s="4">
        <v>1.95629E8</v>
      </c>
      <c r="F67" s="4">
        <v>1.97372E8</v>
      </c>
      <c r="G67" s="4">
        <v>1.98623E8</v>
      </c>
      <c r="H67" s="4">
        <v>2.01265E8</v>
      </c>
      <c r="I67" s="4">
        <v>2.02743E8</v>
      </c>
      <c r="J67" s="4">
        <v>2.04142E8</v>
      </c>
      <c r="K67" s="4">
        <v>2.0668E8</v>
      </c>
      <c r="L67" s="4">
        <v>2.10687E8</v>
      </c>
      <c r="M67" s="4">
        <v>2.14375E8</v>
      </c>
      <c r="N67" s="4">
        <v>2.17906E8</v>
      </c>
      <c r="O67" s="4">
        <v>2.20259E8</v>
      </c>
      <c r="P67" s="4">
        <v>2.20444E8</v>
      </c>
      <c r="Q67" s="4">
        <v>2.22775E8</v>
      </c>
      <c r="R67" s="4">
        <v>2.24935E8</v>
      </c>
      <c r="S67" s="4">
        <v>2.26032E8</v>
      </c>
      <c r="T67" s="4">
        <v>2.27072E8</v>
      </c>
      <c r="U67" s="4">
        <v>2.30022E8</v>
      </c>
      <c r="V67" s="4">
        <v>2.3234E8</v>
      </c>
      <c r="W67" s="4">
        <v>2.34109E8</v>
      </c>
      <c r="X67" s="4">
        <v>2.35141E8</v>
      </c>
      <c r="Y67" s="4">
        <v>2.37598E8</v>
      </c>
      <c r="Z67" s="4">
        <v>2.39101E8</v>
      </c>
      <c r="AA67" s="4">
        <v>2.39947E8</v>
      </c>
      <c r="AB67" s="4">
        <v>2.40811E8</v>
      </c>
      <c r="AC67" s="4">
        <v>2.44457E8</v>
      </c>
      <c r="AD67" s="4">
        <v>2.46983E8</v>
      </c>
      <c r="AE67" s="4">
        <v>2.49096E8</v>
      </c>
      <c r="AF67" s="4">
        <v>2.50855E8</v>
      </c>
      <c r="AG67" s="4">
        <v>2.54697E8</v>
      </c>
      <c r="AH67" s="4">
        <v>2.57968E8</v>
      </c>
      <c r="AI67" s="4">
        <v>2.60111E8</v>
      </c>
      <c r="AJ67" s="4">
        <v>2.65514E8</v>
      </c>
      <c r="AK67" s="4">
        <v>2.65495E8</v>
      </c>
      <c r="AL67" s="4">
        <v>2.65458E8</v>
      </c>
      <c r="AM67" s="4">
        <v>2.65379E8</v>
      </c>
      <c r="AN67" s="4">
        <v>2.77424E8</v>
      </c>
      <c r="AO67" s="4">
        <v>2.80215E8</v>
      </c>
      <c r="AP67" s="4">
        <v>2.8312E8</v>
      </c>
      <c r="AQ67" s="4">
        <v>2.86464E8</v>
      </c>
      <c r="AR67" s="4">
        <v>2.86185E8</v>
      </c>
      <c r="AS67" s="4">
        <v>2.87613E8</v>
      </c>
      <c r="AT67" s="4">
        <v>2.91983E8</v>
      </c>
      <c r="AU67" s="4">
        <v>2.90782E8</v>
      </c>
      <c r="AV67" s="4">
        <v>2.95828E8</v>
      </c>
      <c r="AW67" s="4">
        <v>2.99514E8</v>
      </c>
      <c r="AX67" s="4">
        <v>2.98842E8</v>
      </c>
      <c r="AY67" s="4">
        <v>2.98844E8</v>
      </c>
      <c r="AZ67" s="4">
        <v>2.98819E8</v>
      </c>
      <c r="BA67" s="4">
        <v>2.98459E8</v>
      </c>
      <c r="BB67" s="4">
        <v>2.98399E8</v>
      </c>
      <c r="BC67" s="4">
        <v>2.98371E8</v>
      </c>
      <c r="BD67" s="4">
        <v>2.98013E8</v>
      </c>
      <c r="BE67" s="4">
        <v>2.78202E8</v>
      </c>
      <c r="BF67" s="4">
        <v>2.78217E8</v>
      </c>
      <c r="BG67" s="4">
        <v>2.78159E8</v>
      </c>
      <c r="BH67" s="4">
        <v>2.78114E8</v>
      </c>
      <c r="BI67" s="4">
        <v>2.77938E8</v>
      </c>
      <c r="BJ67" s="4">
        <v>2.77712E8</v>
      </c>
      <c r="BK67" s="4">
        <v>2.7774E8</v>
      </c>
      <c r="BL67" s="4">
        <v>2.77741E8</v>
      </c>
      <c r="BM67" s="4">
        <v>1.57298E8</v>
      </c>
      <c r="BN67" s="4">
        <v>1.56218E8</v>
      </c>
      <c r="BO67" s="4">
        <v>1.56024E8</v>
      </c>
      <c r="BP67" s="4">
        <v>1.56E8</v>
      </c>
      <c r="BQ67" s="4">
        <v>1.55859E8</v>
      </c>
      <c r="BR67" s="4">
        <v>1.5784E8</v>
      </c>
      <c r="BS67" s="4">
        <v>1.58437E8</v>
      </c>
      <c r="BT67" s="4">
        <v>1.6063E8</v>
      </c>
      <c r="BU67" s="4">
        <v>1.64071E8</v>
      </c>
      <c r="BV67" s="4">
        <v>1.64086E8</v>
      </c>
      <c r="BW67" s="4">
        <v>1.63785E8</v>
      </c>
      <c r="BX67" s="4">
        <v>1.64191E8</v>
      </c>
      <c r="BY67" s="4">
        <v>1.64354E8</v>
      </c>
      <c r="BZ67" s="4">
        <v>1.68095E8</v>
      </c>
      <c r="CA67" s="4">
        <v>1.68415E8</v>
      </c>
      <c r="CB67" s="4">
        <v>1.67345E8</v>
      </c>
      <c r="CC67" s="4">
        <v>1.66762E8</v>
      </c>
      <c r="CD67" s="4">
        <v>1.6667E8</v>
      </c>
      <c r="CE67" s="4">
        <v>1.66691E8</v>
      </c>
      <c r="CF67" s="4">
        <v>1.6667E8</v>
      </c>
      <c r="CG67" s="4">
        <v>1.66462E8</v>
      </c>
      <c r="CH67" s="4">
        <v>1.66359E8</v>
      </c>
      <c r="CI67" s="4">
        <v>1.66302E8</v>
      </c>
      <c r="CJ67" s="4">
        <v>1.66232E8</v>
      </c>
      <c r="CK67" s="4">
        <v>1.66052E8</v>
      </c>
      <c r="CL67" s="4">
        <v>1.65646E8</v>
      </c>
      <c r="CM67" s="4">
        <v>1.65281E8</v>
      </c>
      <c r="CN67" s="4">
        <v>1.64548E8</v>
      </c>
      <c r="CO67" s="4">
        <v>1.64155E8</v>
      </c>
      <c r="CP67" s="4">
        <v>1.32346E8</v>
      </c>
      <c r="CQ67" s="4">
        <v>1.327E8</v>
      </c>
      <c r="CR67" s="4">
        <v>1.331E8</v>
      </c>
      <c r="CT67" s="4">
        <v>1.05121E8</v>
      </c>
      <c r="CX67" s="4">
        <v>8.3526E7</v>
      </c>
      <c r="DB67" s="4">
        <v>5.3105E7</v>
      </c>
      <c r="DF67" s="4">
        <v>4.2762E7</v>
      </c>
      <c r="DJ67" s="4">
        <v>3.3971E7</v>
      </c>
    </row>
    <row r="68">
      <c r="A68" s="1" t="s">
        <v>67</v>
      </c>
      <c r="B68" s="4">
        <v>3.7242E9</v>
      </c>
      <c r="C68" s="4">
        <v>3.701564E9</v>
      </c>
      <c r="D68" s="4">
        <v>3.693871E9</v>
      </c>
      <c r="E68" s="4">
        <v>3.676077E9</v>
      </c>
      <c r="F68" s="4">
        <v>3.627987E9</v>
      </c>
      <c r="G68" s="4">
        <v>3.606414E9</v>
      </c>
      <c r="H68" s="4">
        <v>3.587914E9</v>
      </c>
      <c r="I68" s="4">
        <v>3.527285E9</v>
      </c>
      <c r="J68" s="4">
        <v>3.50485E9</v>
      </c>
      <c r="K68" s="4">
        <v>3.45716E9</v>
      </c>
      <c r="L68" s="4">
        <v>3.446612E9</v>
      </c>
      <c r="M68" s="4">
        <v>3.426729E9</v>
      </c>
      <c r="N68" s="4">
        <v>3.381819E9</v>
      </c>
      <c r="O68" s="4">
        <v>3.332283E9</v>
      </c>
      <c r="P68" s="4">
        <v>3.322531E9</v>
      </c>
      <c r="Q68" s="4">
        <v>3.30816E9</v>
      </c>
      <c r="R68" s="4">
        <v>3.292902E9</v>
      </c>
      <c r="S68" s="4">
        <v>3.275917E9</v>
      </c>
      <c r="T68" s="4">
        <v>3.252421E9</v>
      </c>
      <c r="U68" s="4">
        <v>3.23917E9</v>
      </c>
      <c r="V68" s="4">
        <v>3.222233E9</v>
      </c>
      <c r="W68" s="4">
        <v>3.210527E9</v>
      </c>
      <c r="X68" s="4">
        <v>3.196462E9</v>
      </c>
      <c r="Y68" s="4">
        <v>3.176406E9</v>
      </c>
      <c r="Z68" s="4">
        <v>3.166518E9</v>
      </c>
      <c r="AA68" s="4">
        <v>3.157322E9</v>
      </c>
      <c r="AB68" s="4">
        <v>3.154606E9</v>
      </c>
      <c r="AC68" s="4">
        <v>3.144632E9</v>
      </c>
      <c r="AD68" s="4">
        <v>3.136683E9</v>
      </c>
      <c r="AE68" s="4">
        <v>3.12411E9</v>
      </c>
      <c r="AF68" s="4">
        <v>3.107283E9</v>
      </c>
      <c r="AG68" s="4">
        <v>3.09579E9</v>
      </c>
      <c r="AH68" s="4">
        <v>3.085637E9</v>
      </c>
      <c r="AI68" s="4">
        <v>3.070518E9</v>
      </c>
      <c r="AJ68" s="4">
        <v>3.048806E9</v>
      </c>
      <c r="AK68" s="4">
        <v>3.038621E9</v>
      </c>
      <c r="AL68" s="4">
        <v>3.027985E9</v>
      </c>
      <c r="AM68" s="4">
        <v>3.016262E9</v>
      </c>
      <c r="AN68" s="4">
        <v>3.009226E9</v>
      </c>
      <c r="AO68" s="4">
        <v>3.004582E9</v>
      </c>
      <c r="AP68" s="4">
        <v>2.998785E9</v>
      </c>
      <c r="AQ68" s="4">
        <v>2.992981E9</v>
      </c>
      <c r="AR68" s="4">
        <v>2.991351E9</v>
      </c>
      <c r="AS68" s="4">
        <v>2.983323E9</v>
      </c>
      <c r="AT68" s="4">
        <v>2.97316E9</v>
      </c>
      <c r="AU68" s="4">
        <v>2.967014E9</v>
      </c>
      <c r="AV68" s="4">
        <v>2.96094E9</v>
      </c>
      <c r="AW68" s="4">
        <v>2.957267E9</v>
      </c>
      <c r="AX68" s="4">
        <v>2.951761E9</v>
      </c>
      <c r="AY68" s="4">
        <v>2.948506E9</v>
      </c>
      <c r="AZ68" s="4">
        <v>2.945024E9</v>
      </c>
      <c r="BA68" s="4">
        <v>2.9373E9</v>
      </c>
      <c r="BB68" s="4">
        <v>2.933846E9</v>
      </c>
      <c r="BC68" s="4">
        <v>2.928855E9</v>
      </c>
      <c r="BD68" s="4">
        <v>2.923377E9</v>
      </c>
      <c r="BE68" s="4">
        <v>2.497939E9</v>
      </c>
      <c r="BF68" s="4">
        <v>2.494984E9</v>
      </c>
      <c r="BG68" s="4">
        <v>2.492482E9</v>
      </c>
      <c r="BH68" s="4">
        <v>2.489647E9</v>
      </c>
      <c r="BI68" s="4">
        <v>2.487071E9</v>
      </c>
      <c r="BJ68" s="4">
        <v>2.484606E9</v>
      </c>
      <c r="BK68" s="4">
        <v>2.482409E9</v>
      </c>
      <c r="BL68" s="4">
        <v>2.480062E9</v>
      </c>
      <c r="BM68" s="4">
        <v>5.2583E8</v>
      </c>
      <c r="BN68" s="4">
        <v>4.86145E8</v>
      </c>
      <c r="BO68" s="4">
        <v>4.77687E8</v>
      </c>
      <c r="BP68" s="4">
        <v>4.75462E8</v>
      </c>
      <c r="BQ68" s="4">
        <v>4.70878E8</v>
      </c>
      <c r="BR68" s="4">
        <v>4.62383E8</v>
      </c>
      <c r="BS68" s="4">
        <v>4.5118E8</v>
      </c>
      <c r="BT68" s="4">
        <v>4.47617E8</v>
      </c>
      <c r="BU68" s="4">
        <v>4.41119E8</v>
      </c>
      <c r="BV68" s="4">
        <v>4.216E8</v>
      </c>
      <c r="BW68" s="4">
        <v>4.05003E8</v>
      </c>
      <c r="BX68" s="4">
        <v>3.95205E8</v>
      </c>
      <c r="BY68" s="4">
        <v>3.86158E8</v>
      </c>
      <c r="BZ68" s="4">
        <v>3.7693E8</v>
      </c>
      <c r="CA68" s="4">
        <v>3.63767E8</v>
      </c>
      <c r="CB68" s="4">
        <v>3.31185E8</v>
      </c>
      <c r="CC68" s="4">
        <v>3.14973E8</v>
      </c>
      <c r="CD68" s="4">
        <v>3.13269E8</v>
      </c>
      <c r="CE68" s="4">
        <v>3.13023E8</v>
      </c>
      <c r="CF68" s="4">
        <v>3.12589E8</v>
      </c>
      <c r="CG68" s="4">
        <v>3.022E8</v>
      </c>
      <c r="CH68" s="4">
        <v>3.01848E8</v>
      </c>
      <c r="CI68" s="4">
        <v>3.00622E8</v>
      </c>
      <c r="CJ68" s="4">
        <v>2.99149E8</v>
      </c>
      <c r="CK68" s="4">
        <v>2.94957E8</v>
      </c>
      <c r="CL68" s="4">
        <v>2.83925E8</v>
      </c>
      <c r="CM68" s="4">
        <v>2.63233E8</v>
      </c>
      <c r="CN68" s="4">
        <v>2.45341E8</v>
      </c>
      <c r="CO68" s="4">
        <v>2.35619E8</v>
      </c>
      <c r="CP68" s="4">
        <v>2.55581E8</v>
      </c>
      <c r="CQ68" s="4">
        <v>2.503E8</v>
      </c>
      <c r="CR68" s="4">
        <v>4.405E8</v>
      </c>
      <c r="CT68" s="4">
        <v>4.18039E8</v>
      </c>
      <c r="CX68" s="4">
        <v>3.79954E8</v>
      </c>
      <c r="DB68" s="4">
        <v>3.29948E8</v>
      </c>
      <c r="DF68" s="4">
        <v>3.03609E8</v>
      </c>
      <c r="DJ68" s="4">
        <v>2.83323E8</v>
      </c>
    </row>
    <row r="69">
      <c r="A69" s="1" t="s">
        <v>68</v>
      </c>
      <c r="B69" s="4">
        <v>2.380451E9</v>
      </c>
      <c r="C69" s="4">
        <v>2.041118E9</v>
      </c>
      <c r="D69" s="4">
        <v>1.65614E9</v>
      </c>
      <c r="E69" s="4">
        <v>2.222823E9</v>
      </c>
      <c r="F69" s="4">
        <v>2.364098E9</v>
      </c>
      <c r="G69" s="4">
        <v>2.157589E9</v>
      </c>
      <c r="H69" s="4">
        <v>2.473999E9</v>
      </c>
      <c r="I69" s="4">
        <v>2.461208E9</v>
      </c>
      <c r="J69" s="4">
        <v>2.429821E9</v>
      </c>
      <c r="K69" s="4">
        <v>2.588006E9</v>
      </c>
      <c r="L69" s="4">
        <v>3.006102E9</v>
      </c>
      <c r="M69" s="4">
        <v>3.346821E9</v>
      </c>
      <c r="N69" s="4">
        <v>3.758995E9</v>
      </c>
      <c r="O69" s="4">
        <v>3.659804E9</v>
      </c>
      <c r="P69" s="4">
        <v>3.16266E9</v>
      </c>
      <c r="Q69" s="4">
        <v>3.120738E9</v>
      </c>
      <c r="R69" s="4">
        <v>3.234944E9</v>
      </c>
      <c r="S69" s="4">
        <v>3.074584E9</v>
      </c>
      <c r="T69" s="4">
        <v>2.941107E9</v>
      </c>
      <c r="U69" s="4">
        <v>2.890147E9</v>
      </c>
      <c r="V69" s="4">
        <v>2.928064E9</v>
      </c>
      <c r="W69" s="4">
        <v>2.79562E9</v>
      </c>
      <c r="X69" s="4">
        <v>2.698352E9</v>
      </c>
      <c r="Y69" s="4">
        <v>2.334534E9</v>
      </c>
      <c r="Z69" s="4">
        <v>2.28606E9</v>
      </c>
      <c r="AA69" s="4">
        <v>2.136401E9</v>
      </c>
      <c r="AB69" s="4">
        <v>2.015867E9</v>
      </c>
      <c r="AC69" s="4">
        <v>1.977969E9</v>
      </c>
      <c r="AD69" s="4">
        <v>2.035101E9</v>
      </c>
      <c r="AE69" s="4">
        <v>2.020784E9</v>
      </c>
      <c r="AF69" s="4">
        <v>2.025545E9</v>
      </c>
      <c r="AG69" s="4">
        <v>1.999119E9</v>
      </c>
      <c r="AH69" s="4">
        <v>2.081543E9</v>
      </c>
      <c r="AI69" s="4">
        <v>2.061798E9</v>
      </c>
      <c r="AJ69" s="4">
        <v>2.403045E9</v>
      </c>
      <c r="AK69" s="4">
        <v>2.047674E9</v>
      </c>
      <c r="AL69" s="4">
        <v>1.811358E9</v>
      </c>
      <c r="AM69" s="4">
        <v>1.560098E9</v>
      </c>
      <c r="AN69" s="4">
        <v>2.125453E9</v>
      </c>
      <c r="AO69" s="4">
        <v>2.000488E9</v>
      </c>
      <c r="AP69" s="4">
        <v>1.960068E9</v>
      </c>
      <c r="AQ69" s="4">
        <v>1.91116E9</v>
      </c>
      <c r="AR69" s="4">
        <v>1.710732E9</v>
      </c>
      <c r="AS69" s="4">
        <v>1.468534E9</v>
      </c>
      <c r="AT69" s="4">
        <v>1.550438E9</v>
      </c>
      <c r="AU69" s="4">
        <v>1.336298E9</v>
      </c>
      <c r="AV69" s="4">
        <v>1.416918E9</v>
      </c>
      <c r="AW69" s="4">
        <v>1.305107E9</v>
      </c>
      <c r="AX69" s="4">
        <v>1.133943E9</v>
      </c>
      <c r="AY69" s="4">
        <v>9.87901E8</v>
      </c>
      <c r="AZ69" s="4">
        <v>8.30932E8</v>
      </c>
      <c r="BA69" s="4">
        <v>6.08386E8</v>
      </c>
      <c r="BB69" s="4">
        <v>4.80266E8</v>
      </c>
      <c r="BC69" s="4">
        <v>3.39071E8</v>
      </c>
      <c r="BD69" s="4">
        <v>2.03075E8</v>
      </c>
      <c r="BE69" s="4">
        <v>1.15878E8</v>
      </c>
      <c r="BF69" s="4">
        <v>2.7996E8</v>
      </c>
      <c r="BG69" s="4">
        <v>1.8637E8</v>
      </c>
      <c r="BH69" s="4">
        <v>1.03364E8</v>
      </c>
      <c r="BI69" s="4">
        <v>2.151E7</v>
      </c>
      <c r="BJ69" s="4">
        <v>2.8816E7</v>
      </c>
      <c r="BK69" s="4">
        <v>1097000.0</v>
      </c>
      <c r="BL69" s="4">
        <v>-4818000.0</v>
      </c>
      <c r="BM69" s="4">
        <v>1.11417E9</v>
      </c>
      <c r="BN69" s="4">
        <v>1.103951E9</v>
      </c>
      <c r="BO69" s="4">
        <v>1.069472E9</v>
      </c>
      <c r="BP69" s="4">
        <v>1.090298E9</v>
      </c>
      <c r="BQ69" s="4">
        <v>1.060427E9</v>
      </c>
      <c r="BR69" s="4">
        <v>1.106165E9</v>
      </c>
      <c r="BS69" s="4">
        <v>1.011019E9</v>
      </c>
      <c r="BT69" s="4">
        <v>1.04665E9</v>
      </c>
      <c r="BU69" s="4">
        <v>1.129626E9</v>
      </c>
      <c r="BV69" s="4">
        <v>1.102457E9</v>
      </c>
      <c r="BW69" s="4">
        <v>1.014969E9</v>
      </c>
      <c r="BX69" s="4">
        <v>9.85243E8</v>
      </c>
      <c r="BY69" s="4">
        <v>9.43404E8</v>
      </c>
      <c r="BZ69" s="4">
        <v>1.037409E9</v>
      </c>
      <c r="CA69" s="4">
        <v>9.75255E8</v>
      </c>
      <c r="CB69" s="4">
        <v>9.09114E8</v>
      </c>
      <c r="CC69" s="4">
        <v>8.60879E8</v>
      </c>
      <c r="CD69" s="4">
        <v>8.1222E8</v>
      </c>
      <c r="CE69" s="4">
        <v>7.148E8</v>
      </c>
      <c r="CF69" s="4">
        <v>6.56894E8</v>
      </c>
      <c r="CG69" s="4">
        <v>6.25193E8</v>
      </c>
      <c r="CH69" s="4">
        <v>5.79265E8</v>
      </c>
      <c r="CI69" s="4">
        <v>4.92473E8</v>
      </c>
      <c r="CJ69" s="4">
        <v>4.56383E8</v>
      </c>
      <c r="CK69" s="4">
        <v>4.39919E8</v>
      </c>
      <c r="CL69" s="4">
        <v>4.14318E8</v>
      </c>
      <c r="CM69" s="4">
        <v>5.76875E8</v>
      </c>
      <c r="CN69" s="4">
        <v>5.3647E8</v>
      </c>
      <c r="CO69" s="4">
        <v>5.07732E8</v>
      </c>
      <c r="CP69" s="4">
        <v>5.37994E8</v>
      </c>
      <c r="CQ69" s="4">
        <v>4.791E8</v>
      </c>
      <c r="CR69" s="4">
        <v>4.632E8</v>
      </c>
      <c r="CS69" s="4">
        <v>4.303E8</v>
      </c>
      <c r="CT69" s="4">
        <v>4.0227E8</v>
      </c>
      <c r="CU69" s="4">
        <v>3.664E8</v>
      </c>
      <c r="CV69" s="4">
        <v>3.322E8</v>
      </c>
      <c r="CW69" s="4">
        <v>3.167E8</v>
      </c>
      <c r="CX69" s="4">
        <v>3.20085E8</v>
      </c>
      <c r="CY69" s="4">
        <v>2.767E8</v>
      </c>
      <c r="CZ69" s="4">
        <v>3.226E8</v>
      </c>
      <c r="DA69" s="4">
        <v>3.15E8</v>
      </c>
      <c r="DB69" s="4">
        <v>3.02145E8</v>
      </c>
      <c r="DC69" s="4">
        <v>2.654E8</v>
      </c>
      <c r="DD69" s="4">
        <v>2.889E8</v>
      </c>
      <c r="DE69" s="4">
        <v>2.841E8</v>
      </c>
      <c r="DF69" s="4">
        <v>2.73309E8</v>
      </c>
      <c r="DG69" s="4">
        <v>2.466E8</v>
      </c>
      <c r="DH69" s="4">
        <v>2.299E8</v>
      </c>
      <c r="DI69" s="4">
        <v>2.252E8</v>
      </c>
      <c r="DJ69" s="4">
        <v>2.07436E8</v>
      </c>
      <c r="DK69" s="4">
        <v>1.84E8</v>
      </c>
      <c r="DL69" s="4">
        <v>2.719E8</v>
      </c>
      <c r="DM69" s="4">
        <v>1.58E8</v>
      </c>
      <c r="DN69" s="4">
        <v>1.564E8</v>
      </c>
      <c r="DO69" s="4">
        <v>1.365E8</v>
      </c>
      <c r="DP69" s="4">
        <v>1.277E8</v>
      </c>
      <c r="DQ69" s="4">
        <v>1.238E8</v>
      </c>
      <c r="DR69" s="4">
        <v>1.196E8</v>
      </c>
      <c r="DS69" s="4">
        <v>1.078E8</v>
      </c>
      <c r="DT69" s="4">
        <v>1.008E8</v>
      </c>
      <c r="DU69" s="4">
        <v>9.54E7</v>
      </c>
      <c r="DV69" s="4">
        <v>9.54E7</v>
      </c>
      <c r="DW69" s="4">
        <v>8.41E7</v>
      </c>
      <c r="DX69" s="4">
        <v>8.08E7</v>
      </c>
      <c r="DY69" s="4">
        <v>1.057E8</v>
      </c>
      <c r="DZ69" s="4">
        <v>1.054E8</v>
      </c>
      <c r="EA69" s="4">
        <v>9.74E7</v>
      </c>
      <c r="EB69" s="4">
        <v>9.56E7</v>
      </c>
      <c r="EC69" s="4">
        <v>9.4E7</v>
      </c>
      <c r="ED69" s="4">
        <v>9.45E7</v>
      </c>
      <c r="EE69" s="4">
        <v>8.82E7</v>
      </c>
      <c r="EF69" s="4">
        <v>8.64E7</v>
      </c>
      <c r="EG69" s="4">
        <v>8.58E7</v>
      </c>
      <c r="EH69" s="4">
        <v>8.21E7</v>
      </c>
      <c r="EI69" s="4">
        <v>7.94E7</v>
      </c>
      <c r="EJ69" s="4">
        <v>7.88E7</v>
      </c>
    </row>
    <row r="70">
      <c r="A70" s="1" t="s">
        <v>69</v>
      </c>
      <c r="BZ70" s="4">
        <v>2739000.0</v>
      </c>
      <c r="CD70" s="4">
        <v>2742000.0</v>
      </c>
      <c r="CH70" s="4">
        <v>2395000.0</v>
      </c>
      <c r="CI70" s="4">
        <v>2685000.0</v>
      </c>
      <c r="CJ70" s="4">
        <v>2690000.0</v>
      </c>
      <c r="CK70" s="4">
        <v>2469000.0</v>
      </c>
      <c r="CL70" s="4">
        <v>2126000.0</v>
      </c>
      <c r="CN70" s="1">
        <v>0.0</v>
      </c>
      <c r="CO70" s="1">
        <v>0.0</v>
      </c>
      <c r="CP70" s="1">
        <v>0.0</v>
      </c>
      <c r="CR70" s="4">
        <v>2.005E8</v>
      </c>
      <c r="CT70" s="4">
        <v>2.00527E8</v>
      </c>
      <c r="CX70" s="4">
        <v>2.00527E8</v>
      </c>
      <c r="DB70" s="4">
        <v>2.00527E8</v>
      </c>
      <c r="DF70" s="4">
        <v>2.00527E8</v>
      </c>
      <c r="DJ70" s="4">
        <v>2.01832E8</v>
      </c>
    </row>
    <row r="71">
      <c r="A71" s="1" t="s">
        <v>70</v>
      </c>
      <c r="B71" s="4">
        <v>1015000.0</v>
      </c>
      <c r="C71" s="4">
        <v>648000.0</v>
      </c>
      <c r="D71" s="4">
        <v>43000.0</v>
      </c>
      <c r="E71" s="4">
        <v>-723000.0</v>
      </c>
      <c r="F71" s="4">
        <v>-966000.0</v>
      </c>
      <c r="G71" s="4">
        <v>-1002000.0</v>
      </c>
      <c r="H71" s="4">
        <v>-1192000.0</v>
      </c>
      <c r="I71" s="4">
        <v>-1435000.0</v>
      </c>
      <c r="J71" s="4">
        <v>-1678000.0</v>
      </c>
      <c r="K71" s="4">
        <v>-1921000.0</v>
      </c>
      <c r="L71" s="4">
        <v>-2163000.0</v>
      </c>
      <c r="M71" s="4">
        <v>-2406000.0</v>
      </c>
      <c r="N71" s="4">
        <v>-2649000.0</v>
      </c>
      <c r="O71" s="4">
        <v>-2892000.0</v>
      </c>
      <c r="P71" s="4">
        <v>-3135000.0</v>
      </c>
      <c r="Q71" s="4">
        <v>-3378000.0</v>
      </c>
      <c r="R71" s="4">
        <v>-3621000.0</v>
      </c>
      <c r="S71" s="4">
        <v>-3864000.0</v>
      </c>
      <c r="T71" s="4">
        <v>-3207000.0</v>
      </c>
      <c r="U71" s="4">
        <v>-3451000.0</v>
      </c>
      <c r="V71" s="4">
        <v>-3695000.0</v>
      </c>
      <c r="W71" s="4">
        <v>-3938000.0</v>
      </c>
      <c r="X71" s="4">
        <v>-4181000.0</v>
      </c>
      <c r="Y71" s="4">
        <v>-4383000.0</v>
      </c>
      <c r="Z71" s="4">
        <v>-4584000.0</v>
      </c>
      <c r="AA71" s="4">
        <v>-4789000.0</v>
      </c>
      <c r="AB71" s="4">
        <v>-4990000.0</v>
      </c>
      <c r="AC71" s="4">
        <v>-5206000.0</v>
      </c>
      <c r="AD71" s="4">
        <v>-5406000.0</v>
      </c>
      <c r="AE71" s="4">
        <v>-5607000.0</v>
      </c>
      <c r="AF71" s="4">
        <v>-5807000.0</v>
      </c>
      <c r="AG71" s="4">
        <v>-6013000.0</v>
      </c>
      <c r="AH71" s="4">
        <v>-6214000.0</v>
      </c>
      <c r="AI71" s="4">
        <v>-6569000.0</v>
      </c>
      <c r="AJ71" s="4">
        <v>-7327000.0</v>
      </c>
      <c r="AK71" s="4">
        <v>-8153000.0</v>
      </c>
      <c r="AL71" s="4">
        <v>-8808000.0</v>
      </c>
      <c r="AM71" s="4">
        <v>-9512000.0</v>
      </c>
      <c r="AN71" s="4">
        <v>-9910000.0</v>
      </c>
      <c r="AO71" s="4">
        <v>-1.0331E7</v>
      </c>
      <c r="AP71" s="4">
        <v>-1.0497E7</v>
      </c>
      <c r="AQ71" s="4">
        <v>-1.1706E7</v>
      </c>
      <c r="AR71" s="4">
        <v>-2938000.0</v>
      </c>
      <c r="AS71" s="4">
        <v>-4608000.0</v>
      </c>
      <c r="AT71" s="4">
        <v>-5171000.0</v>
      </c>
      <c r="AU71" s="4">
        <v>-2662000.0</v>
      </c>
      <c r="AV71" s="4">
        <v>-5191000.0</v>
      </c>
      <c r="AW71" s="4">
        <v>-7876000.0</v>
      </c>
      <c r="AX71" s="4">
        <v>-1.0982E7</v>
      </c>
      <c r="AY71" s="4">
        <v>-1.5595E7</v>
      </c>
      <c r="AZ71" s="4">
        <v>-2.0296E7</v>
      </c>
      <c r="BA71" s="4">
        <v>-2.6755E7</v>
      </c>
      <c r="BB71" s="4">
        <v>-2.9667E7</v>
      </c>
      <c r="BC71" s="4">
        <v>-2.9771E7</v>
      </c>
      <c r="BD71" s="4">
        <v>-3.4167E7</v>
      </c>
      <c r="BE71" s="4">
        <v>-3.6605E7</v>
      </c>
      <c r="BF71" s="4">
        <v>-3.6623E7</v>
      </c>
      <c r="BG71" s="4">
        <v>-4.0426E7</v>
      </c>
      <c r="BH71" s="4">
        <v>-3.943E7</v>
      </c>
      <c r="BI71" s="4">
        <v>-2.3055E7</v>
      </c>
      <c r="BJ71" s="4">
        <v>-2.4331E7</v>
      </c>
      <c r="BK71" s="4">
        <v>-3.0639E7</v>
      </c>
      <c r="BL71" s="4">
        <v>-4.9112E7</v>
      </c>
      <c r="BM71" s="4">
        <v>-941000.0</v>
      </c>
      <c r="BN71" s="4">
        <v>-987000.0</v>
      </c>
      <c r="BO71" s="4">
        <v>-659000.0</v>
      </c>
      <c r="BP71" s="4">
        <v>-696000.0</v>
      </c>
      <c r="BQ71" s="4">
        <v>-740000.0</v>
      </c>
      <c r="BR71" s="4">
        <v>-794000.0</v>
      </c>
      <c r="BS71" s="4">
        <v>-839000.0</v>
      </c>
      <c r="BT71" s="4">
        <v>-883000.0</v>
      </c>
      <c r="BU71" s="4">
        <v>-928000.0</v>
      </c>
      <c r="BV71" s="4">
        <v>-973000.0</v>
      </c>
      <c r="BW71" s="4">
        <v>-1009000.0</v>
      </c>
      <c r="BX71" s="4">
        <v>-1054000.0</v>
      </c>
      <c r="BY71" s="4">
        <v>-1108000.0</v>
      </c>
      <c r="BZ71" s="4">
        <v>-1161000.0</v>
      </c>
      <c r="CA71" s="4">
        <v>-1206000.0</v>
      </c>
      <c r="CB71" s="4">
        <v>-1266000.0</v>
      </c>
      <c r="CC71" s="4">
        <v>-1311000.0</v>
      </c>
      <c r="CD71" s="4">
        <v>-1349000.0</v>
      </c>
      <c r="CE71" s="4">
        <v>-1382000.0</v>
      </c>
      <c r="CF71" s="4">
        <v>-2012000.0</v>
      </c>
      <c r="CG71" s="4">
        <v>-2677000.0</v>
      </c>
      <c r="CH71" s="4">
        <v>-3228000.0</v>
      </c>
      <c r="CI71" s="4">
        <v>-3552000.0</v>
      </c>
      <c r="CJ71" s="4">
        <v>-3044000.0</v>
      </c>
      <c r="CK71" s="4">
        <v>-2839000.0</v>
      </c>
    </row>
    <row r="72">
      <c r="A72" s="1" t="s">
        <v>71</v>
      </c>
      <c r="B72" s="4">
        <v>1015000.0</v>
      </c>
      <c r="C72" s="4">
        <v>648000.0</v>
      </c>
      <c r="D72" s="4">
        <v>43000.0</v>
      </c>
      <c r="E72" s="4">
        <v>-723000.0</v>
      </c>
      <c r="F72" s="4">
        <v>-966000.0</v>
      </c>
      <c r="G72" s="4">
        <v>-1002000.0</v>
      </c>
      <c r="H72" s="4">
        <v>-1192000.0</v>
      </c>
      <c r="I72" s="4">
        <v>-1435000.0</v>
      </c>
      <c r="J72" s="4">
        <v>-1678000.0</v>
      </c>
      <c r="K72" s="4">
        <v>-1921000.0</v>
      </c>
      <c r="L72" s="4">
        <v>-2163000.0</v>
      </c>
      <c r="M72" s="4">
        <v>-2406000.0</v>
      </c>
      <c r="N72" s="4">
        <v>-2649000.0</v>
      </c>
      <c r="O72" s="4">
        <v>-2892000.0</v>
      </c>
      <c r="P72" s="4">
        <v>-3135000.0</v>
      </c>
      <c r="Q72" s="4">
        <v>-3378000.0</v>
      </c>
      <c r="R72" s="4">
        <v>-3621000.0</v>
      </c>
      <c r="S72" s="4">
        <v>-3864000.0</v>
      </c>
      <c r="T72" s="4">
        <v>-3207000.0</v>
      </c>
      <c r="U72" s="4">
        <v>-3451000.0</v>
      </c>
      <c r="V72" s="4">
        <v>-3695000.0</v>
      </c>
      <c r="W72" s="4">
        <v>-3938000.0</v>
      </c>
      <c r="X72" s="4">
        <v>-4181000.0</v>
      </c>
      <c r="Y72" s="4">
        <v>-4383000.0</v>
      </c>
      <c r="Z72" s="4">
        <v>-4584000.0</v>
      </c>
      <c r="AA72" s="4">
        <v>-4789000.0</v>
      </c>
      <c r="AB72" s="4">
        <v>-4990000.0</v>
      </c>
      <c r="AC72" s="4">
        <v>-5206000.0</v>
      </c>
      <c r="AD72" s="4">
        <v>-5406000.0</v>
      </c>
      <c r="AE72" s="4">
        <v>-5607000.0</v>
      </c>
      <c r="AF72" s="4">
        <v>-5807000.0</v>
      </c>
      <c r="AG72" s="4">
        <v>-6013000.0</v>
      </c>
      <c r="AH72" s="4">
        <v>-6214000.0</v>
      </c>
      <c r="AI72" s="4">
        <v>-6569000.0</v>
      </c>
      <c r="AJ72" s="4">
        <v>-7327000.0</v>
      </c>
      <c r="AK72" s="4">
        <v>-8153000.0</v>
      </c>
      <c r="AL72" s="4">
        <v>-8808000.0</v>
      </c>
      <c r="AM72" s="4">
        <v>-9512000.0</v>
      </c>
      <c r="AN72" s="4">
        <v>-9910000.0</v>
      </c>
      <c r="AO72" s="4">
        <v>-1.0331E7</v>
      </c>
      <c r="AP72" s="4">
        <v>-1.0497E7</v>
      </c>
      <c r="AQ72" s="4">
        <v>-1.1706E7</v>
      </c>
      <c r="AR72" s="4">
        <v>-2938000.0</v>
      </c>
    </row>
    <row r="73">
      <c r="A73" s="1" t="s">
        <v>72</v>
      </c>
      <c r="BM73" s="4">
        <v>420000.0</v>
      </c>
      <c r="BN73" s="4">
        <v>420000.0</v>
      </c>
      <c r="BO73" s="4">
        <v>417000.0</v>
      </c>
      <c r="BP73" s="4">
        <v>413000.0</v>
      </c>
      <c r="BQ73" s="4">
        <v>390000.0</v>
      </c>
      <c r="BR73" s="4">
        <v>-4799000.0</v>
      </c>
      <c r="BS73" s="4">
        <v>-5510000.0</v>
      </c>
      <c r="BT73" s="4">
        <v>-6197000.0</v>
      </c>
      <c r="BU73" s="4">
        <v>-5922000.0</v>
      </c>
      <c r="BV73" s="4">
        <v>-2705000.0</v>
      </c>
      <c r="BW73" s="4">
        <v>-5258000.0</v>
      </c>
      <c r="BX73" s="4">
        <v>-4709000.0</v>
      </c>
      <c r="BY73" s="4">
        <v>-4725000.0</v>
      </c>
      <c r="BZ73" s="4">
        <v>-1614000.0</v>
      </c>
      <c r="CA73" s="4">
        <v>-4571000.0</v>
      </c>
      <c r="CB73" s="4">
        <v>-4233000.0</v>
      </c>
      <c r="CC73" s="4">
        <v>-3556000.0</v>
      </c>
      <c r="CE73" s="4">
        <v>-2781000.0</v>
      </c>
      <c r="CF73" s="4">
        <v>-2787000.0</v>
      </c>
      <c r="CG73" s="4">
        <v>-2518000.0</v>
      </c>
      <c r="CH73" s="4">
        <v>-131000.0</v>
      </c>
      <c r="CR73" s="4">
        <v>900000.0</v>
      </c>
      <c r="CS73" s="4">
        <v>3.572E8</v>
      </c>
      <c r="CU73" s="4">
        <v>2.856E8</v>
      </c>
      <c r="CV73" s="4">
        <v>3.116E8</v>
      </c>
      <c r="CW73" s="4">
        <v>2.8E8</v>
      </c>
      <c r="CY73" s="4">
        <v>2.402E8</v>
      </c>
      <c r="CZ73" s="4">
        <v>2.369E8</v>
      </c>
      <c r="DA73" s="4">
        <v>2.044E8</v>
      </c>
      <c r="DC73" s="4">
        <v>1.69E8</v>
      </c>
      <c r="DD73" s="4">
        <v>1.607E8</v>
      </c>
      <c r="DE73" s="4">
        <v>1.513E8</v>
      </c>
      <c r="DG73" s="4">
        <v>1.365E8</v>
      </c>
      <c r="DH73" s="4">
        <v>1.34E8</v>
      </c>
      <c r="DI73" s="4">
        <v>1.094E8</v>
      </c>
      <c r="DK73" s="4">
        <v>1.024E8</v>
      </c>
      <c r="DL73" s="4">
        <v>-2400000.0</v>
      </c>
      <c r="DM73" s="4">
        <v>9.85E7</v>
      </c>
      <c r="DN73" s="4">
        <v>8.43E7</v>
      </c>
      <c r="DO73" s="4">
        <v>8.29E7</v>
      </c>
      <c r="DP73" s="4">
        <v>7.88E7</v>
      </c>
      <c r="DQ73" s="4">
        <v>7.08E7</v>
      </c>
      <c r="DR73" s="4">
        <v>7.02E7</v>
      </c>
      <c r="DS73" s="4">
        <v>6.11E7</v>
      </c>
      <c r="DT73" s="4">
        <v>5.95E7</v>
      </c>
      <c r="DU73" s="4">
        <v>5.83E7</v>
      </c>
      <c r="DV73" s="4">
        <v>5.56E7</v>
      </c>
      <c r="DW73" s="4">
        <v>5.4E7</v>
      </c>
      <c r="DX73" s="4">
        <v>5.36E7</v>
      </c>
      <c r="DY73" s="4">
        <v>2.62E7</v>
      </c>
      <c r="DZ73" s="4">
        <v>2.63E7</v>
      </c>
      <c r="EA73" s="4">
        <v>2.62E7</v>
      </c>
      <c r="EB73" s="4">
        <v>2.62E7</v>
      </c>
      <c r="EC73" s="4">
        <v>2.61E7</v>
      </c>
      <c r="ED73" s="4">
        <v>2.61E7</v>
      </c>
      <c r="EE73" s="4">
        <v>2.61E7</v>
      </c>
      <c r="EF73" s="4">
        <v>2.59E7</v>
      </c>
      <c r="EG73" s="4">
        <v>2.58E7</v>
      </c>
      <c r="EH73" s="4">
        <v>2.74E7</v>
      </c>
      <c r="EI73" s="4">
        <v>2.94E7</v>
      </c>
      <c r="EJ73" s="4">
        <v>2.92E7</v>
      </c>
    </row>
    <row r="74">
      <c r="A74" s="1" t="s">
        <v>73</v>
      </c>
      <c r="B74" s="4">
        <v>1.359292E10</v>
      </c>
      <c r="C74" s="4">
        <v>1.2964018E10</v>
      </c>
      <c r="D74" s="4">
        <v>1.2551171E10</v>
      </c>
      <c r="E74" s="4">
        <v>1.2079534E10</v>
      </c>
      <c r="F74" s="4">
        <v>1.0479191E10</v>
      </c>
      <c r="G74" s="4">
        <v>9.909086E9</v>
      </c>
      <c r="H74" s="4">
        <v>1.0434054E10</v>
      </c>
      <c r="I74" s="4">
        <v>1.0317227E10</v>
      </c>
      <c r="J74" s="4">
        <v>1.02939E10</v>
      </c>
      <c r="K74" s="4">
        <v>1.0380635E10</v>
      </c>
      <c r="L74" s="4">
        <v>1.0792213E10</v>
      </c>
      <c r="M74" s="4">
        <v>1.1117092E10</v>
      </c>
      <c r="N74" s="4">
        <v>1.1445072E10</v>
      </c>
      <c r="O74" s="4">
        <v>1.1176675E10</v>
      </c>
      <c r="P74" s="4">
        <v>9.613938E9</v>
      </c>
      <c r="Q74" s="4">
        <v>9.410785E9</v>
      </c>
      <c r="R74" s="4">
        <v>9.322643E9</v>
      </c>
      <c r="S74" s="4">
        <v>9.304774E9</v>
      </c>
      <c r="T74" s="4">
        <v>9.280133E9</v>
      </c>
      <c r="U74" s="4">
        <v>9.258327E9</v>
      </c>
      <c r="V74" s="4">
        <v>9.155753E9</v>
      </c>
      <c r="W74" s="4">
        <v>9.098815E9</v>
      </c>
      <c r="X74" s="4">
        <v>8.730387E9</v>
      </c>
      <c r="Y74" s="4">
        <v>8.463723E9</v>
      </c>
      <c r="Z74" s="4">
        <v>8.3702E9</v>
      </c>
      <c r="AA74" s="4">
        <v>8.160971E9</v>
      </c>
      <c r="AB74" s="4">
        <v>8.11687E9</v>
      </c>
      <c r="AC74" s="4">
        <v>8.035062E9</v>
      </c>
      <c r="AD74" s="4">
        <v>7.969825E9</v>
      </c>
      <c r="AE74" s="4">
        <v>8.378046E9</v>
      </c>
      <c r="AF74" s="4">
        <v>8.347051E9</v>
      </c>
      <c r="AG74" s="4">
        <v>8.448925E9</v>
      </c>
      <c r="AH74" s="4">
        <v>8.180728E9</v>
      </c>
      <c r="AI74" s="4">
        <v>7.999863E9</v>
      </c>
      <c r="AJ74" s="4">
        <v>8.349465E9</v>
      </c>
      <c r="AK74" s="4">
        <v>8.009659E9</v>
      </c>
      <c r="AL74" s="4">
        <v>7.97721E9</v>
      </c>
      <c r="AM74" s="4">
        <v>7.838631E9</v>
      </c>
      <c r="AN74" s="4">
        <v>8.144981E9</v>
      </c>
      <c r="AO74" s="4">
        <v>8.148921E9</v>
      </c>
      <c r="AP74" s="4">
        <v>8.076614E9</v>
      </c>
      <c r="AQ74" s="4">
        <v>8.014202E9</v>
      </c>
      <c r="AR74" s="4">
        <v>7.756666E9</v>
      </c>
      <c r="AS74" s="4">
        <v>7.758229E9</v>
      </c>
      <c r="AT74" s="4">
        <v>7.697661E9</v>
      </c>
      <c r="AU74" s="4">
        <v>7.472352E9</v>
      </c>
      <c r="AV74" s="4">
        <v>7.286386E9</v>
      </c>
      <c r="AW74" s="4">
        <v>7.275073E9</v>
      </c>
      <c r="AX74" s="4">
        <v>7.152972E9</v>
      </c>
      <c r="AY74" s="4">
        <v>7.482253E9</v>
      </c>
      <c r="AZ74" s="4">
        <v>7.341549E9</v>
      </c>
      <c r="BA74" s="4">
        <v>7.104297E9</v>
      </c>
      <c r="BB74" s="4">
        <v>7.033651E9</v>
      </c>
      <c r="BC74" s="4">
        <v>6.936413E9</v>
      </c>
      <c r="BD74" s="4">
        <v>6.790013E9</v>
      </c>
      <c r="BE74" s="4">
        <v>6.960666E9</v>
      </c>
      <c r="BF74" s="4">
        <v>7.127561E9</v>
      </c>
      <c r="BG74" s="4">
        <v>7.033775E9</v>
      </c>
      <c r="BH74" s="4">
        <v>6.954651E9</v>
      </c>
      <c r="BI74" s="4">
        <v>6.935931E9</v>
      </c>
      <c r="BJ74" s="4">
        <v>6.944413E9</v>
      </c>
      <c r="BK74" s="4">
        <v>6.906728E9</v>
      </c>
      <c r="BL74" s="4">
        <v>6.982629E9</v>
      </c>
      <c r="BM74" s="4">
        <v>2.05715E9</v>
      </c>
      <c r="BN74" s="4">
        <v>2.007705E9</v>
      </c>
      <c r="BO74" s="4">
        <v>2.19828E9</v>
      </c>
      <c r="BP74" s="4">
        <v>2.238014E9</v>
      </c>
      <c r="BQ74" s="4">
        <v>2.020285E9</v>
      </c>
      <c r="BR74" s="4">
        <v>1.990757E9</v>
      </c>
      <c r="BS74" s="4">
        <v>1.958723E9</v>
      </c>
      <c r="BT74" s="4">
        <v>1.903262E9</v>
      </c>
      <c r="BU74" s="4">
        <v>1.984418E9</v>
      </c>
      <c r="BV74" s="4">
        <v>1.942927E9</v>
      </c>
      <c r="BW74" s="4">
        <v>1.898684E9</v>
      </c>
      <c r="BX74" s="4">
        <v>1.797885E9</v>
      </c>
      <c r="BY74" s="4">
        <v>1.749704E9</v>
      </c>
      <c r="BZ74" s="4">
        <v>1.842257E9</v>
      </c>
      <c r="CA74" s="4">
        <v>1.770017E9</v>
      </c>
      <c r="CB74" s="4">
        <v>1.674565E9</v>
      </c>
      <c r="CC74" s="4">
        <v>1.663775E9</v>
      </c>
      <c r="CD74" s="4">
        <v>1.618405E9</v>
      </c>
      <c r="CE74" s="4">
        <v>1.692849E9</v>
      </c>
      <c r="CF74" s="4">
        <v>1.638061E9</v>
      </c>
      <c r="CG74" s="4">
        <v>1.424743E9</v>
      </c>
      <c r="CH74" s="4">
        <v>1.381188E9</v>
      </c>
      <c r="CI74" s="4">
        <v>1.300334E9</v>
      </c>
      <c r="CJ74" s="4">
        <v>1.651465E9</v>
      </c>
      <c r="CK74" s="4">
        <v>1.629146E9</v>
      </c>
      <c r="CL74" s="4">
        <v>1.582527E9</v>
      </c>
      <c r="CM74" s="4">
        <v>1.216296E9</v>
      </c>
      <c r="CN74" s="4">
        <v>1.151728E9</v>
      </c>
      <c r="CO74" s="4">
        <v>9.09746E8</v>
      </c>
      <c r="CP74" s="4">
        <v>9.27121E8</v>
      </c>
      <c r="CQ74" s="4">
        <v>8.636E8</v>
      </c>
      <c r="CR74" s="4">
        <v>8.387E8</v>
      </c>
      <c r="CS74" s="4">
        <v>7.881E8</v>
      </c>
      <c r="CT74" s="4">
        <v>7.26547E8</v>
      </c>
      <c r="CU74" s="4">
        <v>6.522E8</v>
      </c>
      <c r="CV74" s="4">
        <v>6.44E8</v>
      </c>
      <c r="CW74" s="4">
        <v>5.971E8</v>
      </c>
      <c r="CX74" s="4">
        <v>5.8519E8</v>
      </c>
      <c r="CY74" s="4">
        <v>5.183E8</v>
      </c>
      <c r="CZ74" s="4">
        <v>5.611E8</v>
      </c>
      <c r="DA74" s="4">
        <v>5.212E8</v>
      </c>
      <c r="DB74" s="4">
        <v>4.88111E8</v>
      </c>
      <c r="DC74" s="4">
        <v>4.371E8</v>
      </c>
      <c r="DD74" s="4">
        <v>4.517E8</v>
      </c>
      <c r="DE74" s="4">
        <v>4.377E8</v>
      </c>
      <c r="DF74" s="4">
        <v>4.23289E8</v>
      </c>
      <c r="DG74" s="4">
        <v>3.865E8</v>
      </c>
      <c r="DH74" s="4">
        <v>3.675E8</v>
      </c>
      <c r="DI74" s="4">
        <v>3.385E8</v>
      </c>
      <c r="DJ74" s="4">
        <v>3.28523E8</v>
      </c>
      <c r="DK74" s="4">
        <v>2.909E8</v>
      </c>
      <c r="DL74" s="4">
        <v>2.742E8</v>
      </c>
      <c r="DM74" s="4">
        <v>2.613E8</v>
      </c>
      <c r="DN74" s="4">
        <v>2.464E8</v>
      </c>
      <c r="DO74" s="4">
        <v>2.252E8</v>
      </c>
      <c r="DP74" s="4">
        <v>2.125E8</v>
      </c>
      <c r="DQ74" s="4">
        <v>2.007E8</v>
      </c>
      <c r="DR74" s="4">
        <v>1.968E8</v>
      </c>
      <c r="DS74" s="4">
        <v>1.76E8</v>
      </c>
      <c r="DT74" s="4">
        <v>1.976E8</v>
      </c>
      <c r="DU74" s="4">
        <v>1.772E8</v>
      </c>
      <c r="DV74" s="4">
        <v>1.722E8</v>
      </c>
      <c r="DW74" s="4">
        <v>1.838E8</v>
      </c>
      <c r="DX74" s="4">
        <v>1.727E8</v>
      </c>
      <c r="DY74" s="4">
        <v>1.56E8</v>
      </c>
      <c r="DZ74" s="4">
        <v>1.508E8</v>
      </c>
      <c r="EA74" s="4">
        <v>1.838E8</v>
      </c>
      <c r="EB74" s="4">
        <v>1.794E8</v>
      </c>
      <c r="EC74" s="4">
        <v>1.668E8</v>
      </c>
      <c r="ED74" s="4">
        <v>1.474E8</v>
      </c>
      <c r="EE74" s="4">
        <v>1.752E8</v>
      </c>
      <c r="EF74" s="4">
        <v>1.748E8</v>
      </c>
      <c r="EG74" s="4">
        <v>1.572E8</v>
      </c>
      <c r="EH74" s="4">
        <v>1.584E8</v>
      </c>
      <c r="EI74" s="4">
        <v>1.611E8</v>
      </c>
      <c r="EJ74" s="4">
        <v>1.723E8</v>
      </c>
    </row>
    <row r="75">
      <c r="A75" s="1" t="s">
        <v>74</v>
      </c>
      <c r="CT75" s="4">
        <v>858000.0</v>
      </c>
      <c r="CX75" s="4">
        <v>858000.0</v>
      </c>
      <c r="DB75" s="4">
        <v>858000.0</v>
      </c>
      <c r="DF75" s="4">
        <v>858000.0</v>
      </c>
      <c r="DJ75" s="4">
        <v>858000.0</v>
      </c>
    </row>
    <row r="76">
      <c r="A76" s="1" t="s">
        <v>75</v>
      </c>
      <c r="B76" s="4">
        <v>6.297705E9</v>
      </c>
      <c r="C76" s="4">
        <v>5.935251E9</v>
      </c>
      <c r="D76" s="4">
        <v>5.541772E9</v>
      </c>
      <c r="E76" s="4">
        <v>6.093806E9</v>
      </c>
      <c r="F76" s="4">
        <v>6.188491E9</v>
      </c>
      <c r="G76" s="4">
        <v>5.961624E9</v>
      </c>
      <c r="H76" s="4">
        <v>6.261986E9</v>
      </c>
      <c r="I76" s="4">
        <v>6.189801E9</v>
      </c>
      <c r="J76" s="4">
        <v>6.137135E9</v>
      </c>
      <c r="K76" s="4">
        <v>6.249925E9</v>
      </c>
      <c r="L76" s="4">
        <v>6.661238E9</v>
      </c>
      <c r="M76" s="4">
        <v>6.985519E9</v>
      </c>
      <c r="N76" s="4">
        <v>7.356071E9</v>
      </c>
      <c r="O76" s="4">
        <v>7.209454E9</v>
      </c>
      <c r="P76" s="4">
        <v>6.7025E9</v>
      </c>
      <c r="Q76" s="4">
        <v>6.648295E9</v>
      </c>
      <c r="R76" s="4">
        <v>6.74916E9</v>
      </c>
      <c r="S76" s="4">
        <v>6.572669E9</v>
      </c>
      <c r="T76" s="4">
        <v>6.417393E9</v>
      </c>
      <c r="U76" s="4">
        <v>6.355888E9</v>
      </c>
      <c r="V76" s="4">
        <v>6.378942E9</v>
      </c>
      <c r="W76" s="4">
        <v>6.236318E9</v>
      </c>
      <c r="X76" s="4">
        <v>6.125774E9</v>
      </c>
      <c r="Y76" s="4">
        <v>5.744155E9</v>
      </c>
      <c r="Z76" s="4">
        <v>5.687095E9</v>
      </c>
      <c r="AA76" s="4">
        <v>5.528881E9</v>
      </c>
      <c r="AB76" s="4">
        <v>5.406294E9</v>
      </c>
      <c r="AC76" s="4">
        <v>5.361852E9</v>
      </c>
      <c r="AD76" s="4">
        <v>5.413361E9</v>
      </c>
      <c r="AE76" s="4">
        <v>5.388383E9</v>
      </c>
      <c r="AF76" s="4">
        <v>5.377876E9</v>
      </c>
      <c r="AG76" s="4">
        <v>5.343593E9</v>
      </c>
      <c r="AH76" s="4">
        <v>5.418934E9</v>
      </c>
      <c r="AI76" s="4">
        <v>5.385858E9</v>
      </c>
      <c r="AJ76" s="4">
        <v>5.710038E9</v>
      </c>
      <c r="AK76" s="4">
        <v>5.343637E9</v>
      </c>
      <c r="AL76" s="4">
        <v>5.095993E9</v>
      </c>
      <c r="AM76" s="4">
        <v>4.832227E9</v>
      </c>
      <c r="AN76" s="4">
        <v>5.402193E9</v>
      </c>
      <c r="AO76" s="4">
        <v>5.274954E9</v>
      </c>
      <c r="AP76" s="4">
        <v>5.231476E9</v>
      </c>
      <c r="AQ76" s="4">
        <v>5.178899E9</v>
      </c>
      <c r="AR76" s="4">
        <v>4.98533E9</v>
      </c>
      <c r="AS76" s="4">
        <v>4.734862E9</v>
      </c>
      <c r="AT76" s="4">
        <v>4.81041E9</v>
      </c>
      <c r="AU76" s="4">
        <v>4.591432E9</v>
      </c>
      <c r="AV76" s="4">
        <v>4.668495E9</v>
      </c>
      <c r="AW76" s="4">
        <v>4.554012E9</v>
      </c>
      <c r="AX76" s="4">
        <v>4.373564E9</v>
      </c>
      <c r="AY76" s="4">
        <v>4.219656E9</v>
      </c>
      <c r="AZ76" s="4">
        <v>4.054479E9</v>
      </c>
      <c r="BA76" s="4">
        <v>3.81739E9</v>
      </c>
      <c r="BB76" s="4">
        <v>3.682844E9</v>
      </c>
      <c r="BC76" s="4">
        <v>3.536526E9</v>
      </c>
      <c r="BD76" s="4">
        <v>3.390298E9</v>
      </c>
      <c r="BE76" s="4">
        <v>2.855414E9</v>
      </c>
      <c r="BF76" s="4">
        <v>3.016538E9</v>
      </c>
      <c r="BG76" s="4">
        <v>2.916585E9</v>
      </c>
      <c r="BH76" s="4">
        <v>2.831695E9</v>
      </c>
      <c r="BI76" s="4">
        <v>2.763464E9</v>
      </c>
      <c r="BJ76" s="4">
        <v>2.766803E9</v>
      </c>
      <c r="BK76" s="4">
        <v>2.730607E9</v>
      </c>
      <c r="BL76" s="4">
        <v>2.703873E9</v>
      </c>
      <c r="BM76" s="4">
        <v>1.796777E9</v>
      </c>
      <c r="BN76" s="4">
        <v>1.745747E9</v>
      </c>
      <c r="BO76" s="4">
        <v>1.702941E9</v>
      </c>
      <c r="BP76" s="4">
        <v>1.721477E9</v>
      </c>
      <c r="BQ76" s="4">
        <v>1.686814E9</v>
      </c>
      <c r="BR76" s="4">
        <v>1.720795E9</v>
      </c>
      <c r="BS76" s="4">
        <v>1.614287E9</v>
      </c>
      <c r="BT76" s="4">
        <v>1.647817E9</v>
      </c>
      <c r="BU76" s="4">
        <v>1.727966E9</v>
      </c>
      <c r="BV76" s="4">
        <v>1.684465E9</v>
      </c>
      <c r="BW76" s="4">
        <v>1.57749E9</v>
      </c>
      <c r="BX76" s="4">
        <v>1.538876E9</v>
      </c>
      <c r="BY76" s="4">
        <v>1.488083E9</v>
      </c>
      <c r="BZ76" s="4">
        <v>1.57692E9</v>
      </c>
      <c r="CA76" s="4">
        <v>1.50166E9</v>
      </c>
      <c r="CB76" s="4">
        <v>1.402145E9</v>
      </c>
      <c r="CC76" s="4">
        <v>1.337747E9</v>
      </c>
      <c r="CD76" s="4">
        <v>1.288068E9</v>
      </c>
      <c r="CE76" s="4">
        <v>1.190351E9</v>
      </c>
      <c r="CF76" s="4">
        <v>1.131354E9</v>
      </c>
      <c r="CG76" s="4">
        <v>1.08866E9</v>
      </c>
      <c r="CH76" s="4">
        <v>1.041718E9</v>
      </c>
      <c r="CI76" s="4">
        <v>9.5316E8</v>
      </c>
      <c r="CJ76" s="4">
        <v>9.1603E8</v>
      </c>
      <c r="CK76" s="4">
        <v>8.9562E8</v>
      </c>
      <c r="CL76" s="4">
        <v>8.61763E8</v>
      </c>
      <c r="CM76" s="4">
        <v>1.005389E9</v>
      </c>
      <c r="CN76" s="4">
        <v>9.46359E8</v>
      </c>
      <c r="CO76" s="4">
        <v>9.07506E8</v>
      </c>
      <c r="CP76" s="4">
        <v>9.25921E8</v>
      </c>
      <c r="CQ76" s="4">
        <v>8.621E8</v>
      </c>
      <c r="CR76" s="4">
        <v>8.372E8</v>
      </c>
      <c r="CS76" s="4">
        <v>7.875E8</v>
      </c>
      <c r="CT76" s="4">
        <v>7.24903E8</v>
      </c>
      <c r="CU76" s="4">
        <v>6.52E8</v>
      </c>
      <c r="CV76" s="4">
        <v>6.438E8</v>
      </c>
      <c r="CW76" s="4">
        <v>5.967E8</v>
      </c>
      <c r="CX76" s="4">
        <v>5.83038E8</v>
      </c>
      <c r="CY76" s="4">
        <v>5.169E8</v>
      </c>
      <c r="CZ76" s="4">
        <v>5.595E8</v>
      </c>
      <c r="DA76" s="4">
        <v>5.194E8</v>
      </c>
      <c r="DB76" s="4">
        <v>4.84671E8</v>
      </c>
      <c r="DC76" s="4">
        <v>4.344E8</v>
      </c>
      <c r="DD76" s="4">
        <v>4.496E8</v>
      </c>
      <c r="DE76" s="4">
        <v>4.354E8</v>
      </c>
      <c r="DF76" s="4">
        <v>4.19153E8</v>
      </c>
      <c r="DG76" s="4">
        <v>3.831E8</v>
      </c>
      <c r="DH76" s="4">
        <v>3.639E8</v>
      </c>
      <c r="DI76" s="4">
        <v>3.346E8</v>
      </c>
      <c r="DJ76" s="4">
        <v>3.22898E8</v>
      </c>
      <c r="DK76" s="4">
        <v>2.864E8</v>
      </c>
      <c r="DL76" s="4">
        <v>2.695E8</v>
      </c>
      <c r="DM76" s="4">
        <v>2.565E8</v>
      </c>
      <c r="DN76" s="4">
        <v>2.407E8</v>
      </c>
      <c r="DO76" s="4">
        <v>2.194E8</v>
      </c>
      <c r="DP76" s="4">
        <v>2.065E8</v>
      </c>
      <c r="DQ76" s="4">
        <v>1.946E8</v>
      </c>
      <c r="DR76" s="4">
        <v>1.898E8</v>
      </c>
      <c r="DS76" s="4">
        <v>1.689E8</v>
      </c>
      <c r="DT76" s="4">
        <v>1.603E8</v>
      </c>
      <c r="DU76" s="4">
        <v>1.537E8</v>
      </c>
      <c r="DV76" s="4">
        <v>1.51E8</v>
      </c>
      <c r="DW76" s="4">
        <v>1.381E8</v>
      </c>
      <c r="DX76" s="4">
        <v>1.344E8</v>
      </c>
      <c r="DY76" s="4">
        <v>1.319E8</v>
      </c>
      <c r="DZ76" s="4">
        <v>1.317E8</v>
      </c>
      <c r="EA76" s="4">
        <v>1.236E8</v>
      </c>
      <c r="EB76" s="4">
        <v>1.218E8</v>
      </c>
      <c r="EC76" s="4">
        <v>1.201E8</v>
      </c>
      <c r="ED76" s="4">
        <v>1.206E8</v>
      </c>
      <c r="EE76" s="4">
        <v>1.143E8</v>
      </c>
      <c r="EF76" s="4">
        <v>1.123E8</v>
      </c>
      <c r="EG76" s="4">
        <v>1.116E8</v>
      </c>
      <c r="EH76" s="4">
        <v>1.095E8</v>
      </c>
      <c r="EI76" s="4">
        <v>1.088E8</v>
      </c>
      <c r="EJ76" s="4">
        <v>1.08E8</v>
      </c>
    </row>
    <row r="77">
      <c r="A77" s="1" t="s">
        <v>76</v>
      </c>
      <c r="B77" s="4">
        <v>1.0740626E10</v>
      </c>
      <c r="C77" s="4">
        <v>1.0711586E10</v>
      </c>
      <c r="D77" s="4">
        <v>1.06517E10</v>
      </c>
      <c r="E77" s="4">
        <v>1.0452102E10</v>
      </c>
      <c r="F77" s="4">
        <v>1.0301392E10</v>
      </c>
      <c r="G77" s="4">
        <v>1.0164217E10</v>
      </c>
      <c r="H77" s="4">
        <v>1.0074268E10</v>
      </c>
      <c r="I77" s="4">
        <v>9.965759E9</v>
      </c>
      <c r="J77" s="4">
        <v>9.789557E9</v>
      </c>
      <c r="K77" s="4">
        <v>9.600811E9</v>
      </c>
      <c r="L77" s="4">
        <v>9.459467E9</v>
      </c>
      <c r="M77" s="4">
        <v>9.329395E9</v>
      </c>
      <c r="N77" s="4">
        <v>9.140617E9</v>
      </c>
      <c r="O77" s="4">
        <v>8.947813E9</v>
      </c>
      <c r="P77" s="4">
        <v>8.784488E9</v>
      </c>
      <c r="Q77" s="4">
        <v>8.629427E9</v>
      </c>
      <c r="R77" s="4">
        <v>8.395946E9</v>
      </c>
      <c r="S77" s="4">
        <v>8.133414E9</v>
      </c>
    </row>
    <row r="78">
      <c r="A78" s="1" t="s">
        <v>77</v>
      </c>
      <c r="B78" s="4">
        <v>7.59416E8</v>
      </c>
      <c r="C78" s="4">
        <v>3.96962E8</v>
      </c>
      <c r="D78" s="4">
        <v>3483000.0</v>
      </c>
      <c r="E78" s="4">
        <v>5.55517E8</v>
      </c>
      <c r="F78" s="4">
        <v>6.50202E8</v>
      </c>
      <c r="G78" s="4">
        <v>4.23315E8</v>
      </c>
      <c r="H78" s="4">
        <v>7.23647E8</v>
      </c>
      <c r="I78" s="4">
        <v>6.51432E8</v>
      </c>
      <c r="J78" s="4">
        <v>5.98736E8</v>
      </c>
      <c r="K78" s="4">
        <v>7.11496E8</v>
      </c>
      <c r="L78" s="4">
        <v>1.122779E9</v>
      </c>
      <c r="M78" s="4">
        <v>1.44703E9</v>
      </c>
      <c r="N78" s="4">
        <v>1.817551E9</v>
      </c>
      <c r="O78" s="4">
        <v>1.670904E9</v>
      </c>
      <c r="P78" s="4">
        <v>1.163905E9</v>
      </c>
      <c r="Q78" s="4">
        <v>1.109647E9</v>
      </c>
      <c r="R78" s="4">
        <v>1.21046E9</v>
      </c>
      <c r="S78" s="4">
        <v>1.033916E9</v>
      </c>
      <c r="T78" s="4">
        <v>8.78587E8</v>
      </c>
      <c r="U78" s="4">
        <v>8.17029E8</v>
      </c>
      <c r="V78" s="4">
        <v>8.40031E8</v>
      </c>
      <c r="W78" s="4">
        <v>6.97354E8</v>
      </c>
      <c r="X78" s="4">
        <v>5.86757E8</v>
      </c>
      <c r="Y78" s="4">
        <v>2.05085E8</v>
      </c>
      <c r="Z78" s="4">
        <v>1.47969E8</v>
      </c>
      <c r="AA78" s="4">
        <v>-1.0305E7</v>
      </c>
      <c r="AB78" s="4">
        <v>-1.32954E8</v>
      </c>
      <c r="AC78" s="4">
        <v>-1.77471E8</v>
      </c>
      <c r="AD78" s="4">
        <v>-1.26044E8</v>
      </c>
      <c r="AE78" s="4">
        <v>-1.5111E8</v>
      </c>
      <c r="AF78" s="4">
        <v>-1.61707E8</v>
      </c>
      <c r="AG78" s="4">
        <v>-1.96106E8</v>
      </c>
      <c r="AH78" s="4">
        <v>-1.20896E8</v>
      </c>
      <c r="AI78" s="4">
        <v>-1.54159E8</v>
      </c>
      <c r="AJ78" s="4">
        <v>1.69579E8</v>
      </c>
      <c r="AK78" s="4">
        <v>-1.97603E8</v>
      </c>
      <c r="AL78" s="4">
        <v>-4.465E8</v>
      </c>
      <c r="AM78" s="4">
        <v>-7.1196E8</v>
      </c>
      <c r="AN78" s="4">
        <v>-1.44041E8</v>
      </c>
      <c r="AO78" s="4">
        <v>-2.73712E8</v>
      </c>
      <c r="AP78" s="4">
        <v>-3.19934E8</v>
      </c>
      <c r="AQ78" s="4">
        <v>-3.75689E8</v>
      </c>
      <c r="AR78" s="4">
        <v>-5.72802E8</v>
      </c>
      <c r="AS78" s="4">
        <v>-8.27134E8</v>
      </c>
      <c r="AT78" s="4">
        <v>-7.55678E8</v>
      </c>
      <c r="AU78" s="4">
        <v>-9.79023E8</v>
      </c>
      <c r="AV78" s="4">
        <v>-9.06048E8</v>
      </c>
      <c r="AW78" s="4">
        <v>-1.02531E9</v>
      </c>
      <c r="AX78" s="4">
        <v>-1.210798E9</v>
      </c>
      <c r="AY78" s="4">
        <v>-1.370222E9</v>
      </c>
      <c r="AZ78" s="4">
        <v>-1.541032E9</v>
      </c>
      <c r="BA78" s="4">
        <v>-1.784033E9</v>
      </c>
      <c r="BB78" s="4">
        <v>-1.924735E9</v>
      </c>
      <c r="BC78" s="4">
        <v>-2.078236E9</v>
      </c>
      <c r="BD78" s="4">
        <v>-2.232574E9</v>
      </c>
      <c r="BE78" s="4">
        <v>-2.776455E9</v>
      </c>
      <c r="BF78" s="4">
        <v>-2.625247E9</v>
      </c>
      <c r="BG78" s="4">
        <v>-2.736429E9</v>
      </c>
      <c r="BH78" s="4">
        <v>-2.832452E9</v>
      </c>
      <c r="BI78" s="4">
        <v>-2.910462E9</v>
      </c>
      <c r="BJ78" s="4">
        <v>-2.926075E9</v>
      </c>
      <c r="BK78" s="4">
        <v>-2.973413E9</v>
      </c>
      <c r="BL78" s="4">
        <v>-3.011614E9</v>
      </c>
      <c r="BM78" s="4">
        <v>1.796777E9</v>
      </c>
      <c r="BN78" s="4">
        <v>1.745747E9</v>
      </c>
      <c r="BO78" s="4">
        <v>1.702941E9</v>
      </c>
      <c r="BP78" s="4">
        <v>1.721477E9</v>
      </c>
      <c r="BQ78" s="4">
        <v>1.686814E9</v>
      </c>
      <c r="BR78" s="4">
        <v>1.720795E9</v>
      </c>
      <c r="BS78" s="4">
        <v>1.614287E9</v>
      </c>
      <c r="BT78" s="4">
        <v>1.647817E9</v>
      </c>
      <c r="BU78" s="4">
        <v>1.727966E9</v>
      </c>
      <c r="BV78" s="4">
        <v>1.684465E9</v>
      </c>
      <c r="BW78" s="4">
        <v>1.57749E9</v>
      </c>
      <c r="BX78" s="4">
        <v>1.538876E9</v>
      </c>
      <c r="BY78" s="4">
        <v>1.488083E9</v>
      </c>
      <c r="BZ78" s="4">
        <v>1.57692E9</v>
      </c>
      <c r="CA78" s="4">
        <v>1.50166E9</v>
      </c>
      <c r="CB78" s="4">
        <v>1.402145E9</v>
      </c>
      <c r="CC78" s="4">
        <v>1.337747E9</v>
      </c>
      <c r="CD78" s="4">
        <v>1.288068E9</v>
      </c>
      <c r="CE78" s="4">
        <v>1.190351E9</v>
      </c>
      <c r="CF78" s="4">
        <v>1.131354E9</v>
      </c>
      <c r="CG78" s="4">
        <v>1.08866E9</v>
      </c>
      <c r="CH78" s="4">
        <v>1.041718E9</v>
      </c>
      <c r="CI78" s="4">
        <v>9.5316E8</v>
      </c>
      <c r="CJ78" s="4">
        <v>9.1603E8</v>
      </c>
      <c r="CK78" s="4">
        <v>8.9562E8</v>
      </c>
      <c r="CL78" s="4">
        <v>8.61763E8</v>
      </c>
      <c r="CM78" s="4">
        <v>1.005389E9</v>
      </c>
      <c r="CN78" s="4">
        <v>9.46359E8</v>
      </c>
      <c r="CO78" s="4">
        <v>9.07506E8</v>
      </c>
      <c r="CP78" s="4">
        <v>9.25921E8</v>
      </c>
      <c r="CQ78" s="4">
        <v>8.621E8</v>
      </c>
      <c r="CR78" s="4">
        <v>8.372E8</v>
      </c>
      <c r="CS78" s="4">
        <v>7.875E8</v>
      </c>
      <c r="CT78" s="4">
        <v>7.25761E8</v>
      </c>
      <c r="CU78" s="4">
        <v>6.52E8</v>
      </c>
      <c r="CV78" s="4">
        <v>6.438E8</v>
      </c>
      <c r="CW78" s="4">
        <v>5.967E8</v>
      </c>
      <c r="CX78" s="4">
        <v>5.83896E8</v>
      </c>
      <c r="CY78" s="4">
        <v>5.169E8</v>
      </c>
      <c r="CZ78" s="4">
        <v>5.595E8</v>
      </c>
      <c r="DA78" s="4">
        <v>5.194E8</v>
      </c>
      <c r="DB78" s="4">
        <v>4.85529E8</v>
      </c>
      <c r="DC78" s="4">
        <v>4.344E8</v>
      </c>
      <c r="DD78" s="4">
        <v>4.496E8</v>
      </c>
      <c r="DE78" s="4">
        <v>4.354E8</v>
      </c>
      <c r="DF78" s="4">
        <v>4.20011E8</v>
      </c>
      <c r="DG78" s="4">
        <v>3.831E8</v>
      </c>
      <c r="DH78" s="4">
        <v>3.639E8</v>
      </c>
      <c r="DI78" s="4">
        <v>3.346E8</v>
      </c>
      <c r="DJ78" s="4">
        <v>3.23756E8</v>
      </c>
      <c r="DK78" s="4">
        <v>2.864E8</v>
      </c>
      <c r="DL78" s="4">
        <v>2.695E8</v>
      </c>
      <c r="DM78" s="4">
        <v>2.565E8</v>
      </c>
      <c r="DN78" s="4">
        <v>2.407E8</v>
      </c>
      <c r="DO78" s="4">
        <v>2.194E8</v>
      </c>
      <c r="DP78" s="4">
        <v>2.065E8</v>
      </c>
      <c r="DQ78" s="4">
        <v>1.946E8</v>
      </c>
      <c r="DR78" s="4">
        <v>1.898E8</v>
      </c>
      <c r="DS78" s="4">
        <v>1.689E8</v>
      </c>
      <c r="DT78" s="4">
        <v>1.603E8</v>
      </c>
      <c r="DU78" s="4">
        <v>1.537E8</v>
      </c>
      <c r="DV78" s="4">
        <v>1.51E8</v>
      </c>
      <c r="DW78" s="4">
        <v>1.381E8</v>
      </c>
      <c r="DX78" s="4">
        <v>1.344E8</v>
      </c>
      <c r="DY78" s="4">
        <v>1.319E8</v>
      </c>
      <c r="DZ78" s="4">
        <v>1.317E8</v>
      </c>
      <c r="EA78" s="4">
        <v>1.236E8</v>
      </c>
      <c r="EB78" s="4">
        <v>1.218E8</v>
      </c>
      <c r="EC78" s="4">
        <v>1.201E8</v>
      </c>
      <c r="ED78" s="4">
        <v>1.206E8</v>
      </c>
      <c r="EE78" s="4">
        <v>1.143E8</v>
      </c>
      <c r="EF78" s="4">
        <v>1.123E8</v>
      </c>
      <c r="EG78" s="4">
        <v>1.116E8</v>
      </c>
      <c r="EH78" s="4">
        <v>1.095E8</v>
      </c>
      <c r="EI78" s="4">
        <v>1.088E8</v>
      </c>
      <c r="EJ78" s="4">
        <v>1.08E8</v>
      </c>
    </row>
    <row r="79">
      <c r="A79" s="1" t="s">
        <v>78</v>
      </c>
      <c r="B79" s="4">
        <v>2.380057E9</v>
      </c>
      <c r="C79" s="4">
        <v>1.954781E9</v>
      </c>
      <c r="D79" s="4">
        <v>1.693241E9</v>
      </c>
      <c r="E79" s="4">
        <v>1.514369E9</v>
      </c>
      <c r="F79" s="4">
        <v>1.16106E8</v>
      </c>
      <c r="G79" s="4">
        <v>-2.14971E8</v>
      </c>
      <c r="H79" s="4">
        <v>3.24486E8</v>
      </c>
      <c r="I79" s="4">
        <v>4.41335E8</v>
      </c>
      <c r="J79" s="4">
        <v>5.13634E8</v>
      </c>
      <c r="K79" s="4">
        <v>7.26347E8</v>
      </c>
      <c r="L79" s="4">
        <v>1.203436E9</v>
      </c>
      <c r="M79" s="4">
        <v>1.647221E9</v>
      </c>
      <c r="N79" s="4">
        <v>2.18622E9</v>
      </c>
      <c r="O79" s="4">
        <v>2.149255E9</v>
      </c>
      <c r="P79" s="4">
        <v>6.34308E8</v>
      </c>
      <c r="Q79" s="4">
        <v>5.62504E8</v>
      </c>
      <c r="R79" s="4">
        <v>6.06868E8</v>
      </c>
      <c r="S79" s="4">
        <v>6.27053E8</v>
      </c>
      <c r="T79" s="4">
        <v>1.647163E9</v>
      </c>
      <c r="U79" s="4">
        <v>1.648162E9</v>
      </c>
      <c r="V79" s="4">
        <v>1.602282E9</v>
      </c>
      <c r="W79" s="4">
        <v>1.640704E9</v>
      </c>
      <c r="X79" s="4">
        <v>1.282974E9</v>
      </c>
      <c r="Y79" s="4">
        <v>1.215528E9</v>
      </c>
      <c r="Z79" s="4">
        <v>1.173236E9</v>
      </c>
      <c r="AA79" s="4">
        <v>1.056908E9</v>
      </c>
      <c r="AB79" s="4">
        <v>1.054966E9</v>
      </c>
      <c r="AC79" s="4">
        <v>1.008773E9</v>
      </c>
      <c r="AD79" s="4">
        <v>9.88645E8</v>
      </c>
      <c r="AE79" s="4">
        <v>1.465752E9</v>
      </c>
      <c r="AF79" s="4">
        <v>1.436814E9</v>
      </c>
      <c r="AG79" s="4">
        <v>1.497192E9</v>
      </c>
      <c r="AH79" s="4">
        <v>1.270084E9</v>
      </c>
      <c r="AI79" s="4">
        <v>1.171961E9</v>
      </c>
      <c r="AJ79" s="4">
        <v>1.544869E9</v>
      </c>
      <c r="AK79" s="4">
        <v>1.168286E9</v>
      </c>
      <c r="AL79" s="4">
        <v>1.171213E9</v>
      </c>
      <c r="AM79" s="4">
        <v>1.080028E9</v>
      </c>
      <c r="AN79" s="4">
        <v>1.393636E9</v>
      </c>
      <c r="AO79" s="4">
        <v>1.151253E9</v>
      </c>
      <c r="AP79" s="4">
        <v>1.124553E9</v>
      </c>
      <c r="AQ79" s="4">
        <v>1.124074E9</v>
      </c>
      <c r="AR79" s="4">
        <v>9.38566E8</v>
      </c>
      <c r="AS79" s="4">
        <v>9.84353E8</v>
      </c>
      <c r="AT79" s="4">
        <v>9.87761E8</v>
      </c>
      <c r="AU79" s="4">
        <v>8.62482E8</v>
      </c>
      <c r="AV79" s="4">
        <v>7.65172E8</v>
      </c>
      <c r="AW79" s="4">
        <v>8.20634E8</v>
      </c>
      <c r="AX79" s="4">
        <v>7.4583E8</v>
      </c>
      <c r="AY79" s="4">
        <v>1.119667E9</v>
      </c>
      <c r="AZ79" s="4">
        <v>1.002452E9</v>
      </c>
      <c r="BA79" s="4">
        <v>8.62443E8</v>
      </c>
      <c r="BB79" s="4">
        <v>8.15524E8</v>
      </c>
      <c r="BC79" s="4">
        <v>7.32538E8</v>
      </c>
      <c r="BD79" s="4">
        <v>6.38949E8</v>
      </c>
      <c r="BE79" s="4">
        <v>8.06381E8</v>
      </c>
      <c r="BF79" s="4">
        <v>9.79954E8</v>
      </c>
      <c r="BG79" s="4">
        <v>8.69486E8</v>
      </c>
      <c r="BH79" s="4">
        <v>7.9489E8</v>
      </c>
      <c r="BI79" s="4">
        <v>6.9364E8</v>
      </c>
      <c r="BJ79" s="4">
        <v>6.88084E8</v>
      </c>
      <c r="BK79" s="4">
        <v>6.404E8</v>
      </c>
      <c r="BL79" s="4">
        <v>6.59503E8</v>
      </c>
      <c r="BM79" s="4">
        <v>1.035884E9</v>
      </c>
      <c r="BN79" s="4">
        <v>9.09877E8</v>
      </c>
      <c r="BO79" s="4">
        <v>9.69488E8</v>
      </c>
      <c r="BP79" s="4">
        <v>1.009228E9</v>
      </c>
      <c r="BQ79" s="4">
        <v>8.29263E8</v>
      </c>
      <c r="BR79" s="4">
        <v>8.29128E8</v>
      </c>
      <c r="BS79" s="4">
        <v>8.3471E8</v>
      </c>
      <c r="BT79" s="4">
        <v>8.29295E8</v>
      </c>
      <c r="BU79" s="4">
        <v>9.35417E8</v>
      </c>
      <c r="BV79" s="4">
        <v>9.0521E8</v>
      </c>
      <c r="BW79" s="4">
        <v>8.73575E8</v>
      </c>
      <c r="BX79" s="4">
        <v>8.05773E8</v>
      </c>
      <c r="BY79" s="4">
        <v>7.76241E8</v>
      </c>
      <c r="BZ79" s="4">
        <v>9.08413E8</v>
      </c>
      <c r="CA79" s="4">
        <v>8.38623E8</v>
      </c>
      <c r="CB79" s="4">
        <v>7.33425E8</v>
      </c>
      <c r="CC79" s="4">
        <v>7.14783E8</v>
      </c>
      <c r="CD79" s="4">
        <v>6.59407E8</v>
      </c>
      <c r="CE79" s="4">
        <v>7.17118E8</v>
      </c>
      <c r="CF79" s="4">
        <v>6.62967E8</v>
      </c>
      <c r="CG79" s="4">
        <v>4.77665E8</v>
      </c>
      <c r="CH79" s="4">
        <v>4.22496E8</v>
      </c>
      <c r="CI79" s="4">
        <v>1.78009E8</v>
      </c>
      <c r="CJ79" s="4">
        <v>6.2382E8</v>
      </c>
      <c r="CK79" s="4">
        <v>6.15788E8</v>
      </c>
      <c r="CL79" s="4">
        <v>5.86992E8</v>
      </c>
      <c r="CM79" s="4">
        <v>7.56211E8</v>
      </c>
      <c r="CN79" s="4">
        <v>7.40795E8</v>
      </c>
      <c r="CO79" s="4">
        <v>5.83966E8</v>
      </c>
      <c r="CP79" s="4">
        <v>6.23238E8</v>
      </c>
      <c r="CQ79" s="4">
        <v>5.402E8</v>
      </c>
      <c r="CR79" s="4">
        <v>5.435E8</v>
      </c>
      <c r="CS79" s="4">
        <v>4.864E8</v>
      </c>
      <c r="CT79" s="4">
        <v>4.23783E8</v>
      </c>
      <c r="CU79" s="4">
        <v>3.689E8</v>
      </c>
      <c r="CV79" s="4">
        <v>3.887E8</v>
      </c>
      <c r="CW79" s="4">
        <v>3.588E8</v>
      </c>
      <c r="CX79" s="4">
        <v>3.58998E8</v>
      </c>
      <c r="CY79" s="4">
        <v>2.8E8</v>
      </c>
      <c r="CZ79" s="4">
        <v>3.402E8</v>
      </c>
      <c r="DA79" s="4">
        <v>3.298E8</v>
      </c>
      <c r="DB79" s="4">
        <v>2.80134E8</v>
      </c>
      <c r="DC79" s="4">
        <v>2.562E8</v>
      </c>
      <c r="DD79" s="4">
        <v>2.876E8</v>
      </c>
      <c r="DE79" s="4">
        <v>2.791E8</v>
      </c>
      <c r="DF79" s="4">
        <v>2.62529E8</v>
      </c>
      <c r="DG79" s="4">
        <v>2.303E8</v>
      </c>
      <c r="DH79" s="4">
        <v>2.255E8</v>
      </c>
      <c r="DI79" s="4">
        <v>2.067E8</v>
      </c>
      <c r="DJ79" s="4">
        <v>2.0119E8</v>
      </c>
      <c r="DK79" s="4">
        <v>1.809E8</v>
      </c>
      <c r="DL79" s="4">
        <v>1.789E8</v>
      </c>
      <c r="DM79" s="4">
        <v>1.777E8</v>
      </c>
      <c r="DN79" s="4">
        <v>1.668E8</v>
      </c>
      <c r="DO79" s="4">
        <v>1.505E8</v>
      </c>
      <c r="DP79" s="4">
        <v>1.439E8</v>
      </c>
      <c r="DQ79" s="4">
        <v>1.39E8</v>
      </c>
      <c r="DR79" s="4">
        <v>1.387E8</v>
      </c>
      <c r="DS79" s="4">
        <v>1.226E8</v>
      </c>
      <c r="DT79" s="4">
        <v>1.491E8</v>
      </c>
      <c r="DU79" s="4">
        <v>1.32E8</v>
      </c>
      <c r="DV79" s="4">
        <v>1.3E8</v>
      </c>
      <c r="DW79" s="4">
        <v>1.429E8</v>
      </c>
      <c r="DX79" s="4">
        <v>1.333E8</v>
      </c>
      <c r="DY79" s="4">
        <v>1.178E8</v>
      </c>
      <c r="DZ79" s="4">
        <v>1.131E8</v>
      </c>
      <c r="EA79" s="4">
        <v>1.45E8</v>
      </c>
      <c r="EB79" s="4">
        <v>1.416E8</v>
      </c>
      <c r="EC79" s="4">
        <v>1.293E8</v>
      </c>
      <c r="ED79" s="4">
        <v>1.101E8</v>
      </c>
      <c r="EE79" s="4">
        <v>1.388E8</v>
      </c>
      <c r="EF79" s="4">
        <v>1.42E8</v>
      </c>
      <c r="EG79" s="4">
        <v>1.302E8</v>
      </c>
      <c r="EH79" s="4">
        <v>1.29E8</v>
      </c>
      <c r="EI79" s="4">
        <v>1.29E8</v>
      </c>
      <c r="EJ79" s="4">
        <v>1.392E8</v>
      </c>
    </row>
    <row r="80">
      <c r="A80" s="1" t="s">
        <v>79</v>
      </c>
      <c r="B80" s="4">
        <v>1.359292E10</v>
      </c>
      <c r="C80" s="4">
        <v>1.3214018E10</v>
      </c>
      <c r="D80" s="4">
        <v>1.2551171E10</v>
      </c>
      <c r="E80" s="4">
        <v>1.2079534E10</v>
      </c>
      <c r="F80" s="4">
        <v>1.1379826E10</v>
      </c>
      <c r="G80" s="4">
        <v>1.0809721E10</v>
      </c>
      <c r="H80" s="4">
        <v>1.0434054E10</v>
      </c>
      <c r="I80" s="4">
        <v>1.0317227E10</v>
      </c>
      <c r="J80" s="4">
        <v>1.02939E10</v>
      </c>
      <c r="K80" s="4">
        <v>1.0380635E10</v>
      </c>
      <c r="L80" s="4">
        <v>1.0792213E10</v>
      </c>
      <c r="M80" s="4">
        <v>1.1117092E10</v>
      </c>
      <c r="N80" s="4">
        <v>1.1445072E10</v>
      </c>
      <c r="O80" s="4">
        <v>1.1177255E10</v>
      </c>
      <c r="P80" s="4">
        <v>9.614493E9</v>
      </c>
      <c r="Q80" s="4">
        <v>9.41134E9</v>
      </c>
      <c r="R80" s="4">
        <v>9.323198E9</v>
      </c>
      <c r="S80" s="4">
        <v>9.305329E9</v>
      </c>
      <c r="T80" s="4">
        <v>9.282083E9</v>
      </c>
      <c r="U80" s="4">
        <v>9.260256E9</v>
      </c>
      <c r="V80" s="4">
        <v>9.157662E9</v>
      </c>
      <c r="W80" s="4">
        <v>9.100704E9</v>
      </c>
      <c r="X80" s="4">
        <v>9.131732E9</v>
      </c>
      <c r="Y80" s="4">
        <v>8.865255E9</v>
      </c>
      <c r="Z80" s="4">
        <v>8.771602E9</v>
      </c>
      <c r="AA80" s="4">
        <v>8.562159E9</v>
      </c>
      <c r="AB80" s="4">
        <v>8.61782E9</v>
      </c>
      <c r="AC80" s="4">
        <v>8.536542E9</v>
      </c>
      <c r="AD80" s="4">
        <v>8.471373E9</v>
      </c>
      <c r="AE80" s="4">
        <v>8.379572E9</v>
      </c>
      <c r="AF80" s="4">
        <v>8.34843E9</v>
      </c>
      <c r="AG80" s="4">
        <v>8.450283E9</v>
      </c>
      <c r="AH80" s="4">
        <v>8.282063E9</v>
      </c>
      <c r="AI80" s="4">
        <v>8.101172E9</v>
      </c>
      <c r="AJ80" s="4">
        <v>8.450623E9</v>
      </c>
      <c r="AK80" s="4">
        <v>8.1107E9</v>
      </c>
      <c r="AL80" s="4">
        <v>8.078223E9</v>
      </c>
      <c r="AM80" s="4">
        <v>7.93962E9</v>
      </c>
      <c r="AN80" s="4">
        <v>8.220947E9</v>
      </c>
      <c r="AO80" s="4">
        <v>8.199866E9</v>
      </c>
      <c r="AP80" s="4">
        <v>8.102541E9</v>
      </c>
      <c r="AQ80" s="4">
        <v>8.015111E9</v>
      </c>
      <c r="AR80" s="4">
        <v>7.757558E9</v>
      </c>
      <c r="AS80" s="4">
        <v>7.75912E9</v>
      </c>
      <c r="AT80" s="4">
        <v>7.698005E9</v>
      </c>
      <c r="AU80" s="4">
        <v>7.472811E9</v>
      </c>
      <c r="AV80" s="4">
        <v>7.286976E9</v>
      </c>
      <c r="AW80" s="4">
        <v>7.275836E9</v>
      </c>
      <c r="AX80" s="4">
        <v>7.153935E9</v>
      </c>
      <c r="AY80" s="4">
        <v>7.483292E9</v>
      </c>
      <c r="AZ80" s="4">
        <v>7.342706E9</v>
      </c>
      <c r="BA80" s="4">
        <v>7.105655E9</v>
      </c>
      <c r="BB80" s="4">
        <v>7.035246E9</v>
      </c>
      <c r="BC80" s="4">
        <v>6.93996E9</v>
      </c>
      <c r="BD80" s="4">
        <v>6.793684E9</v>
      </c>
      <c r="BE80" s="4">
        <v>6.987428E9</v>
      </c>
      <c r="BF80" s="4">
        <v>7.154358E9</v>
      </c>
      <c r="BG80" s="4">
        <v>7.053301E9</v>
      </c>
      <c r="BH80" s="4">
        <v>6.968809E9</v>
      </c>
      <c r="BI80" s="4">
        <v>6.944386E9</v>
      </c>
      <c r="BJ80" s="4">
        <v>6.947412E9</v>
      </c>
      <c r="BK80" s="4">
        <v>6.909558E9</v>
      </c>
      <c r="BL80" s="4">
        <v>6.985875E9</v>
      </c>
      <c r="BM80" s="4">
        <v>2.064336E9</v>
      </c>
      <c r="BN80" s="4">
        <v>2.015785E9</v>
      </c>
      <c r="BO80" s="4">
        <v>2.206753E9</v>
      </c>
      <c r="BP80" s="4">
        <v>2.247181E9</v>
      </c>
      <c r="BQ80" s="4">
        <v>2.029085E9</v>
      </c>
      <c r="BR80" s="4">
        <v>1.999542E9</v>
      </c>
      <c r="BS80" s="4">
        <v>1.967587E9</v>
      </c>
      <c r="BT80" s="4">
        <v>1.912823E9</v>
      </c>
      <c r="BU80" s="4">
        <v>1.995155E9</v>
      </c>
      <c r="BV80" s="4">
        <v>1.955787E9</v>
      </c>
      <c r="BW80" s="4">
        <v>1.913388E9</v>
      </c>
      <c r="BX80" s="4">
        <v>1.813841E9</v>
      </c>
      <c r="BY80" s="4">
        <v>1.766584E9</v>
      </c>
      <c r="BZ80" s="4">
        <v>1.858927E9</v>
      </c>
      <c r="CA80" s="4">
        <v>1.787312E9</v>
      </c>
      <c r="CB80" s="4">
        <v>1.691522E9</v>
      </c>
      <c r="CC80" s="4">
        <v>1.680335E9</v>
      </c>
      <c r="CD80" s="4">
        <v>1.634614E9</v>
      </c>
      <c r="CE80" s="4">
        <v>1.708683E9</v>
      </c>
      <c r="CF80" s="4">
        <v>1.653193E9</v>
      </c>
      <c r="CG80" s="4">
        <v>1.82062E9</v>
      </c>
      <c r="CH80" s="4">
        <v>1.776863E9</v>
      </c>
      <c r="CI80" s="4">
        <v>1.691423E9</v>
      </c>
      <c r="CJ80" s="4">
        <v>1.659407E9</v>
      </c>
      <c r="CK80" s="4">
        <v>1.636229E9</v>
      </c>
      <c r="CL80" s="4">
        <v>1.591562E9</v>
      </c>
      <c r="CM80" s="4">
        <v>1.281287E9</v>
      </c>
      <c r="CN80" s="4">
        <v>1.176054E9</v>
      </c>
      <c r="CO80" s="4">
        <v>1.0927E9</v>
      </c>
      <c r="CP80" s="4">
        <v>9.28354E8</v>
      </c>
      <c r="CQ80" s="4">
        <v>1.0449E9</v>
      </c>
      <c r="CR80" s="4">
        <v>9.886E8</v>
      </c>
      <c r="CS80" s="4">
        <v>9.024E8</v>
      </c>
      <c r="CT80" s="4">
        <v>7.26414E8</v>
      </c>
      <c r="CU80" s="4">
        <v>9.125E8</v>
      </c>
      <c r="CV80" s="4">
        <v>8.056E8</v>
      </c>
      <c r="CW80" s="4">
        <v>7.175E8</v>
      </c>
      <c r="CX80" s="4">
        <v>6.07715E8</v>
      </c>
      <c r="CY80" s="4">
        <v>7.135E8</v>
      </c>
      <c r="CZ80" s="4">
        <v>6.207E8</v>
      </c>
      <c r="DA80" s="4">
        <v>5.731E8</v>
      </c>
      <c r="DB80" s="4">
        <v>5.27752E8</v>
      </c>
      <c r="DC80" s="4">
        <v>6.239E8</v>
      </c>
      <c r="DD80" s="4">
        <v>5.283E8</v>
      </c>
      <c r="DE80" s="4">
        <v>5.442E8</v>
      </c>
      <c r="DF80" s="4">
        <v>4.96113E8</v>
      </c>
      <c r="DG80" s="4">
        <v>5.881E8</v>
      </c>
      <c r="DH80" s="4">
        <v>4.935E8</v>
      </c>
      <c r="DI80" s="4">
        <v>4.364E8</v>
      </c>
      <c r="DJ80" s="4">
        <v>3.58706E8</v>
      </c>
      <c r="DK80" s="4">
        <v>4.049E8</v>
      </c>
      <c r="DL80" s="4">
        <v>3.375E8</v>
      </c>
      <c r="DM80" s="4">
        <v>2.896E8</v>
      </c>
      <c r="DN80" s="4">
        <v>2.657E8</v>
      </c>
      <c r="DO80" s="4">
        <v>2.943E8</v>
      </c>
      <c r="DP80" s="4">
        <v>2.478E8</v>
      </c>
      <c r="DQ80" s="4">
        <v>2.27E8</v>
      </c>
      <c r="DR80" s="4">
        <v>2.081E8</v>
      </c>
      <c r="DS80" s="4">
        <v>2.343E8</v>
      </c>
      <c r="DT80" s="4">
        <v>1.989E8</v>
      </c>
      <c r="DU80" s="4">
        <v>1.785E8</v>
      </c>
      <c r="DV80" s="4">
        <v>1.735E8</v>
      </c>
      <c r="DW80" s="4">
        <v>1.941E8</v>
      </c>
      <c r="DX80" s="4">
        <v>1.74E8</v>
      </c>
      <c r="DY80" s="4">
        <v>1.576E8</v>
      </c>
      <c r="DZ80" s="4">
        <v>1.524E8</v>
      </c>
      <c r="EA80" s="4">
        <v>1.942E8</v>
      </c>
      <c r="EB80" s="4">
        <v>1.872E8</v>
      </c>
      <c r="EC80" s="4">
        <v>1.746E8</v>
      </c>
      <c r="ED80" s="4">
        <v>1.552E8</v>
      </c>
      <c r="EE80" s="4">
        <v>1.83E8</v>
      </c>
      <c r="EF80" s="4">
        <v>1.786E8</v>
      </c>
      <c r="EG80" s="4">
        <v>1.58E8</v>
      </c>
      <c r="EH80" s="4">
        <v>1.747E8</v>
      </c>
      <c r="EI80" s="4">
        <v>1.676E8</v>
      </c>
      <c r="EJ80" s="4">
        <v>1.788E8</v>
      </c>
    </row>
    <row r="81">
      <c r="A81" s="1" t="s">
        <v>80</v>
      </c>
      <c r="B81" s="4">
        <v>7.59416E8</v>
      </c>
      <c r="C81" s="4">
        <v>3.96962E8</v>
      </c>
      <c r="D81" s="4">
        <v>3483000.0</v>
      </c>
      <c r="E81" s="4">
        <v>5.55517E8</v>
      </c>
      <c r="F81" s="4">
        <v>6.50202E8</v>
      </c>
      <c r="G81" s="4">
        <v>4.23315E8</v>
      </c>
      <c r="H81" s="4">
        <v>7.23647E8</v>
      </c>
      <c r="I81" s="4">
        <v>6.51432E8</v>
      </c>
      <c r="J81" s="4">
        <v>5.98736E8</v>
      </c>
      <c r="K81" s="4">
        <v>7.11496E8</v>
      </c>
      <c r="L81" s="4">
        <v>1.122779E9</v>
      </c>
      <c r="M81" s="4">
        <v>1.44703E9</v>
      </c>
      <c r="N81" s="4">
        <v>1.817551E9</v>
      </c>
      <c r="O81" s="4">
        <v>1.670904E9</v>
      </c>
      <c r="P81" s="4">
        <v>1.163905E9</v>
      </c>
      <c r="Q81" s="4">
        <v>1.109647E9</v>
      </c>
      <c r="R81" s="4">
        <v>1.21046E9</v>
      </c>
      <c r="S81" s="4">
        <v>1.033916E9</v>
      </c>
      <c r="T81" s="4">
        <v>8.78587E8</v>
      </c>
      <c r="U81" s="4">
        <v>8.17029E8</v>
      </c>
      <c r="V81" s="4">
        <v>8.40031E8</v>
      </c>
      <c r="W81" s="4">
        <v>6.97354E8</v>
      </c>
      <c r="X81" s="4">
        <v>5.86757E8</v>
      </c>
      <c r="Y81" s="4">
        <v>2.05085E8</v>
      </c>
      <c r="Z81" s="4">
        <v>1.47969E8</v>
      </c>
      <c r="AA81" s="4">
        <v>-1.0305E7</v>
      </c>
      <c r="AB81" s="4">
        <v>-1.32954E8</v>
      </c>
      <c r="AC81" s="4">
        <v>-1.77471E8</v>
      </c>
      <c r="AD81" s="4">
        <v>-1.26044E8</v>
      </c>
      <c r="AE81" s="4">
        <v>-1.5111E8</v>
      </c>
      <c r="AF81" s="4">
        <v>-1.61707E8</v>
      </c>
      <c r="AG81" s="4">
        <v>-1.96106E8</v>
      </c>
      <c r="AH81" s="4">
        <v>-1.20896E8</v>
      </c>
      <c r="AI81" s="4">
        <v>-1.54159E8</v>
      </c>
      <c r="AJ81" s="4">
        <v>1.69579E8</v>
      </c>
      <c r="AK81" s="4">
        <v>-1.97603E8</v>
      </c>
      <c r="AL81" s="4">
        <v>-4.465E8</v>
      </c>
      <c r="AM81" s="4">
        <v>-7.1196E8</v>
      </c>
      <c r="AN81" s="4">
        <v>-1.44041E8</v>
      </c>
      <c r="AO81" s="4">
        <v>-2.73712E8</v>
      </c>
      <c r="AP81" s="4">
        <v>-3.19934E8</v>
      </c>
      <c r="AQ81" s="4">
        <v>-3.75689E8</v>
      </c>
      <c r="AR81" s="4">
        <v>-5.72802E8</v>
      </c>
      <c r="AS81" s="4">
        <v>-8.27134E8</v>
      </c>
      <c r="AT81" s="4">
        <v>-7.55678E8</v>
      </c>
      <c r="AU81" s="4">
        <v>-9.79023E8</v>
      </c>
      <c r="AV81" s="4">
        <v>-9.06048E8</v>
      </c>
      <c r="AW81" s="4">
        <v>-1.02531E9</v>
      </c>
      <c r="AX81" s="4">
        <v>-1.210798E9</v>
      </c>
      <c r="AY81" s="4">
        <v>-1.370222E9</v>
      </c>
      <c r="AZ81" s="4">
        <v>-1.541032E9</v>
      </c>
      <c r="BA81" s="4">
        <v>-1.784033E9</v>
      </c>
      <c r="BB81" s="4">
        <v>-1.924735E9</v>
      </c>
      <c r="BC81" s="4">
        <v>-2.078236E9</v>
      </c>
      <c r="BD81" s="4">
        <v>-2.232574E9</v>
      </c>
      <c r="BE81" s="4">
        <v>-2.776455E9</v>
      </c>
      <c r="BF81" s="4">
        <v>-2.625247E9</v>
      </c>
      <c r="BG81" s="4">
        <v>-2.736429E9</v>
      </c>
      <c r="BH81" s="4">
        <v>-2.832452E9</v>
      </c>
      <c r="BI81" s="4">
        <v>-2.910462E9</v>
      </c>
      <c r="BJ81" s="4">
        <v>-2.926075E9</v>
      </c>
      <c r="BK81" s="4">
        <v>-2.973413E9</v>
      </c>
      <c r="BL81" s="4">
        <v>-3.011614E9</v>
      </c>
      <c r="BM81" s="4">
        <v>1.796777E9</v>
      </c>
      <c r="BN81" s="4">
        <v>1.745747E9</v>
      </c>
      <c r="BO81" s="4">
        <v>1.702941E9</v>
      </c>
      <c r="BP81" s="4">
        <v>1.721477E9</v>
      </c>
      <c r="BQ81" s="4">
        <v>1.686814E9</v>
      </c>
      <c r="BR81" s="4">
        <v>1.720795E9</v>
      </c>
      <c r="BS81" s="4">
        <v>1.614287E9</v>
      </c>
      <c r="BT81" s="4">
        <v>1.647817E9</v>
      </c>
      <c r="BU81" s="4">
        <v>1.727966E9</v>
      </c>
      <c r="BV81" s="4">
        <v>1.684465E9</v>
      </c>
      <c r="BW81" s="4">
        <v>1.57749E9</v>
      </c>
      <c r="BX81" s="4">
        <v>1.538876E9</v>
      </c>
      <c r="BY81" s="4">
        <v>1.488083E9</v>
      </c>
      <c r="BZ81" s="4">
        <v>1.57692E9</v>
      </c>
      <c r="CA81" s="4">
        <v>1.50166E9</v>
      </c>
      <c r="CB81" s="4">
        <v>1.402145E9</v>
      </c>
      <c r="CC81" s="4">
        <v>1.337747E9</v>
      </c>
      <c r="CD81" s="4">
        <v>1.288068E9</v>
      </c>
      <c r="CE81" s="4">
        <v>1.190351E9</v>
      </c>
      <c r="CF81" s="4">
        <v>1.131354E9</v>
      </c>
      <c r="CG81" s="4">
        <v>1.08866E9</v>
      </c>
      <c r="CH81" s="4">
        <v>1.041718E9</v>
      </c>
      <c r="CI81" s="4">
        <v>9.5316E8</v>
      </c>
      <c r="CJ81" s="4">
        <v>9.1603E8</v>
      </c>
      <c r="CK81" s="4">
        <v>8.9562E8</v>
      </c>
      <c r="CL81" s="4">
        <v>8.61763E8</v>
      </c>
      <c r="CM81" s="4">
        <v>1.005389E9</v>
      </c>
      <c r="CN81" s="4">
        <v>9.46359E8</v>
      </c>
      <c r="CO81" s="4">
        <v>9.07506E8</v>
      </c>
      <c r="CP81" s="4">
        <v>9.25921E8</v>
      </c>
      <c r="CQ81" s="4">
        <v>8.621E8</v>
      </c>
      <c r="CR81" s="4">
        <v>8.372E8</v>
      </c>
      <c r="CS81" s="4">
        <v>7.875E8</v>
      </c>
      <c r="CT81" s="4">
        <v>7.24903E8</v>
      </c>
      <c r="CU81" s="4">
        <v>6.52E8</v>
      </c>
      <c r="CV81" s="4">
        <v>6.438E8</v>
      </c>
      <c r="CW81" s="4">
        <v>5.967E8</v>
      </c>
      <c r="CX81" s="4">
        <v>5.83038E8</v>
      </c>
      <c r="CY81" s="4">
        <v>5.169E8</v>
      </c>
      <c r="CZ81" s="4">
        <v>5.595E8</v>
      </c>
      <c r="DA81" s="4">
        <v>5.194E8</v>
      </c>
      <c r="DB81" s="4">
        <v>4.84671E8</v>
      </c>
      <c r="DC81" s="4">
        <v>4.344E8</v>
      </c>
      <c r="DD81" s="4">
        <v>4.496E8</v>
      </c>
      <c r="DE81" s="4">
        <v>4.354E8</v>
      </c>
      <c r="DF81" s="4">
        <v>4.19153E8</v>
      </c>
      <c r="DG81" s="4">
        <v>3.831E8</v>
      </c>
      <c r="DH81" s="4">
        <v>3.639E8</v>
      </c>
      <c r="DI81" s="4">
        <v>3.346E8</v>
      </c>
      <c r="DJ81" s="4">
        <v>3.22898E8</v>
      </c>
      <c r="DK81" s="4">
        <v>2.864E8</v>
      </c>
      <c r="DL81" s="4">
        <v>2.695E8</v>
      </c>
      <c r="DM81" s="4">
        <v>2.565E8</v>
      </c>
      <c r="DN81" s="4">
        <v>2.407E8</v>
      </c>
      <c r="DO81" s="4">
        <v>2.194E8</v>
      </c>
      <c r="DP81" s="4">
        <v>2.065E8</v>
      </c>
      <c r="DQ81" s="4">
        <v>1.946E8</v>
      </c>
      <c r="DR81" s="4">
        <v>1.898E8</v>
      </c>
      <c r="DS81" s="4">
        <v>1.689E8</v>
      </c>
      <c r="DT81" s="4">
        <v>1.603E8</v>
      </c>
      <c r="DU81" s="4">
        <v>1.537E8</v>
      </c>
      <c r="DV81" s="4">
        <v>1.51E8</v>
      </c>
      <c r="DW81" s="4">
        <v>1.381E8</v>
      </c>
      <c r="DX81" s="4">
        <v>1.344E8</v>
      </c>
      <c r="DY81" s="4">
        <v>1.319E8</v>
      </c>
      <c r="DZ81" s="4">
        <v>1.317E8</v>
      </c>
      <c r="EA81" s="4">
        <v>1.236E8</v>
      </c>
      <c r="EB81" s="4">
        <v>1.218E8</v>
      </c>
      <c r="EC81" s="4">
        <v>1.201E8</v>
      </c>
      <c r="ED81" s="4">
        <v>1.206E8</v>
      </c>
      <c r="EE81" s="4">
        <v>1.143E8</v>
      </c>
      <c r="EF81" s="4">
        <v>1.123E8</v>
      </c>
      <c r="EG81" s="4">
        <v>1.116E8</v>
      </c>
      <c r="EH81" s="4">
        <v>1.095E8</v>
      </c>
      <c r="EI81" s="4">
        <v>1.088E8</v>
      </c>
      <c r="EJ81" s="4">
        <v>1.08E8</v>
      </c>
    </row>
    <row r="82">
      <c r="A82" s="1" t="s">
        <v>81</v>
      </c>
      <c r="B82" s="4">
        <v>1.8035841E10</v>
      </c>
      <c r="C82" s="4">
        <v>1.7990353E10</v>
      </c>
      <c r="D82" s="4">
        <v>1.7661099E10</v>
      </c>
      <c r="E82" s="4">
        <v>1.643783E10</v>
      </c>
      <c r="F82" s="4">
        <v>1.5492727E10</v>
      </c>
      <c r="G82" s="4">
        <v>1.5012314E10</v>
      </c>
      <c r="H82" s="4">
        <v>1.4246336E10</v>
      </c>
      <c r="I82" s="4">
        <v>1.4093185E10</v>
      </c>
      <c r="J82" s="4">
        <v>1.3946322E10</v>
      </c>
      <c r="K82" s="4">
        <v>1.3731521E10</v>
      </c>
      <c r="L82" s="4">
        <v>1.3590442E10</v>
      </c>
      <c r="M82" s="4">
        <v>1.3460968E10</v>
      </c>
      <c r="N82" s="4">
        <v>1.3229618E10</v>
      </c>
      <c r="O82" s="4">
        <v>1.2915614E10</v>
      </c>
      <c r="P82" s="4">
        <v>1.1696481E10</v>
      </c>
      <c r="Q82" s="4">
        <v>1.1392472E10</v>
      </c>
      <c r="R82" s="4">
        <v>1.0969984E10</v>
      </c>
      <c r="S82" s="4">
        <v>1.0866074E10</v>
      </c>
      <c r="T82" s="4">
        <v>2.86469E9</v>
      </c>
      <c r="U82" s="4">
        <v>2.904368E9</v>
      </c>
      <c r="V82" s="4">
        <v>2.77872E9</v>
      </c>
      <c r="W82" s="4">
        <v>2.864386E9</v>
      </c>
      <c r="X82" s="4">
        <v>3.005958E9</v>
      </c>
      <c r="Y82" s="4">
        <v>3.1211E9</v>
      </c>
      <c r="Z82" s="4">
        <v>3.084507E9</v>
      </c>
      <c r="AA82" s="4">
        <v>3.033278E9</v>
      </c>
      <c r="AB82" s="4">
        <v>3.211526E9</v>
      </c>
      <c r="AC82" s="4">
        <v>3.17469E9</v>
      </c>
      <c r="AD82" s="4">
        <v>3.058012E9</v>
      </c>
      <c r="AE82" s="4">
        <v>2.991189E9</v>
      </c>
      <c r="AF82" s="4">
        <v>2.970554E9</v>
      </c>
      <c r="AG82" s="4">
        <v>3.10669E9</v>
      </c>
      <c r="AH82" s="4">
        <v>2.863129E9</v>
      </c>
      <c r="AI82" s="4">
        <v>2.715314E9</v>
      </c>
      <c r="AJ82" s="4">
        <v>2.740585E9</v>
      </c>
      <c r="AK82" s="4">
        <v>2.767063E9</v>
      </c>
      <c r="AL82" s="4">
        <v>2.98223E9</v>
      </c>
      <c r="AM82" s="4">
        <v>3.107393E9</v>
      </c>
      <c r="AN82" s="4">
        <v>2.818754E9</v>
      </c>
      <c r="AO82" s="4">
        <v>2.924912E9</v>
      </c>
      <c r="AP82" s="4">
        <v>2.871065E9</v>
      </c>
      <c r="AQ82" s="4">
        <v>2.836212E9</v>
      </c>
      <c r="AR82" s="4">
        <v>2.772228E9</v>
      </c>
      <c r="AS82" s="4">
        <v>3.024258E9</v>
      </c>
      <c r="AT82" s="4">
        <v>2.887595E9</v>
      </c>
      <c r="AU82" s="4">
        <v>2.881379E9</v>
      </c>
      <c r="AV82" s="4">
        <v>2.618481E9</v>
      </c>
      <c r="AW82" s="4">
        <v>2.721824E9</v>
      </c>
      <c r="AX82" s="4">
        <v>2.780371E9</v>
      </c>
      <c r="AY82" s="4">
        <v>3.263636E9</v>
      </c>
      <c r="AZ82" s="4">
        <v>3.288227E9</v>
      </c>
      <c r="BA82" s="4">
        <v>3.288265E9</v>
      </c>
      <c r="BB82" s="4">
        <v>3.352402E9</v>
      </c>
      <c r="BC82" s="4">
        <v>3.403434E9</v>
      </c>
      <c r="BD82" s="4">
        <v>3.403386E9</v>
      </c>
      <c r="BE82" s="4">
        <v>4.132014E9</v>
      </c>
      <c r="BF82" s="4">
        <v>4.13782E9</v>
      </c>
      <c r="BG82" s="4">
        <v>4.136716E9</v>
      </c>
      <c r="BH82" s="4">
        <v>4.137114E9</v>
      </c>
      <c r="BI82" s="4">
        <v>4.180922E9</v>
      </c>
      <c r="BJ82" s="4">
        <v>4.180609E9</v>
      </c>
      <c r="BK82" s="4">
        <v>4.178951E9</v>
      </c>
      <c r="BL82" s="4">
        <v>4.282002E9</v>
      </c>
      <c r="BM82" s="4">
        <v>2.67559E8</v>
      </c>
      <c r="BN82" s="4">
        <v>2.70038E8</v>
      </c>
      <c r="BO82" s="4">
        <v>5.03812E8</v>
      </c>
      <c r="BP82" s="4">
        <v>5.25704E8</v>
      </c>
      <c r="BQ82" s="4">
        <v>3.42271E8</v>
      </c>
      <c r="BR82" s="4">
        <v>2.78747E8</v>
      </c>
      <c r="BS82" s="4">
        <v>3.533E8</v>
      </c>
      <c r="BT82" s="4">
        <v>2.65006E8</v>
      </c>
      <c r="BU82" s="4">
        <v>2.67189E8</v>
      </c>
      <c r="BV82" s="4">
        <v>2.71322E8</v>
      </c>
      <c r="BW82" s="4">
        <v>3.35898E8</v>
      </c>
      <c r="BX82" s="4">
        <v>2.74965E8</v>
      </c>
      <c r="BY82" s="4">
        <v>2.78501E8</v>
      </c>
      <c r="BZ82" s="4">
        <v>2.82007E8</v>
      </c>
      <c r="CA82" s="4">
        <v>2.85652E8</v>
      </c>
      <c r="CB82" s="4">
        <v>2.89377E8</v>
      </c>
      <c r="CC82" s="4">
        <v>3.42588E8</v>
      </c>
      <c r="CD82" s="4">
        <v>3.46546E8</v>
      </c>
      <c r="CE82" s="4">
        <v>5.18332E8</v>
      </c>
      <c r="CF82" s="4">
        <v>5.21839E8</v>
      </c>
      <c r="CG82" s="4">
        <v>7.3196E8</v>
      </c>
      <c r="CH82" s="4">
        <v>7.35145E8</v>
      </c>
      <c r="CI82" s="4">
        <v>7.38263E8</v>
      </c>
      <c r="CJ82" s="4">
        <v>7.43377E8</v>
      </c>
      <c r="CK82" s="4">
        <v>7.40609E8</v>
      </c>
      <c r="CL82" s="4">
        <v>7.29799E8</v>
      </c>
      <c r="CM82" s="4">
        <v>2.75898E8</v>
      </c>
      <c r="CN82" s="4">
        <v>2.29695E8</v>
      </c>
      <c r="CO82" s="4">
        <v>1.85194E8</v>
      </c>
      <c r="CP82" s="4">
        <v>2433000.0</v>
      </c>
      <c r="CQ82" s="4">
        <v>1.828E8</v>
      </c>
      <c r="CR82" s="4">
        <v>1.514E8</v>
      </c>
      <c r="CS82" s="4">
        <v>1.149E8</v>
      </c>
      <c r="CT82" s="4">
        <v>1511000.0</v>
      </c>
      <c r="CU82" s="4">
        <v>2.605E8</v>
      </c>
      <c r="CV82" s="4">
        <v>1.618E8</v>
      </c>
      <c r="CW82" s="4">
        <v>1.208E8</v>
      </c>
      <c r="CX82" s="4">
        <v>2.4677E7</v>
      </c>
      <c r="CY82" s="4">
        <v>1.966E8</v>
      </c>
      <c r="CZ82" s="4">
        <v>6.12E7</v>
      </c>
      <c r="DA82" s="4">
        <v>5.37E7</v>
      </c>
      <c r="DB82" s="4">
        <v>4.3081E7</v>
      </c>
      <c r="DC82" s="4">
        <v>1.895E8</v>
      </c>
      <c r="DD82" s="4">
        <v>7.87E7</v>
      </c>
      <c r="DE82" s="4">
        <v>1.088E8</v>
      </c>
      <c r="DF82" s="4">
        <v>7.696E7</v>
      </c>
      <c r="DG82" s="4">
        <v>2.05E8</v>
      </c>
      <c r="DH82" s="4">
        <v>1.296E8</v>
      </c>
      <c r="DI82" s="4">
        <v>1.018E8</v>
      </c>
      <c r="DJ82" s="4">
        <v>3.5808E7</v>
      </c>
      <c r="DK82" s="4">
        <v>1.185E8</v>
      </c>
      <c r="DL82" s="4">
        <v>6.8E7</v>
      </c>
      <c r="DM82" s="4">
        <v>3.31E7</v>
      </c>
      <c r="DN82" s="4">
        <v>2.5E7</v>
      </c>
      <c r="DO82" s="4">
        <v>7.49E7</v>
      </c>
      <c r="DP82" s="4">
        <v>4.13E7</v>
      </c>
      <c r="DQ82" s="4">
        <v>3.24E7</v>
      </c>
      <c r="DR82" s="4">
        <v>1.83E7</v>
      </c>
      <c r="DS82" s="4">
        <v>6.54E7</v>
      </c>
      <c r="DT82" s="4">
        <v>3.86E7</v>
      </c>
      <c r="DU82" s="4">
        <v>2.48E7</v>
      </c>
      <c r="DV82" s="4">
        <v>2.25E7</v>
      </c>
      <c r="DW82" s="4">
        <v>5.6E7</v>
      </c>
      <c r="DX82" s="4">
        <v>3.96E7</v>
      </c>
      <c r="DY82" s="4">
        <v>2.57E7</v>
      </c>
      <c r="DZ82" s="4">
        <v>2.07E7</v>
      </c>
      <c r="EA82" s="4">
        <v>7.06E7</v>
      </c>
      <c r="EB82" s="4">
        <v>6.54E7</v>
      </c>
      <c r="EC82" s="4">
        <v>5.45E7</v>
      </c>
      <c r="ED82" s="4">
        <v>3.46E7</v>
      </c>
      <c r="EE82" s="4">
        <v>6.87E7</v>
      </c>
      <c r="EF82" s="4">
        <v>6.63E7</v>
      </c>
      <c r="EG82" s="4">
        <v>4.64E7</v>
      </c>
      <c r="EH82" s="4">
        <v>6.52E7</v>
      </c>
      <c r="EI82" s="4">
        <v>5.88E7</v>
      </c>
      <c r="EJ82" s="4">
        <v>7.08E7</v>
      </c>
    </row>
    <row r="83">
      <c r="A83" s="1" t="s">
        <v>82</v>
      </c>
      <c r="B83" s="4">
        <v>6.942197E9</v>
      </c>
      <c r="C83" s="4">
        <v>6.965703E9</v>
      </c>
      <c r="D83" s="4">
        <v>6.627823E9</v>
      </c>
      <c r="E83" s="4">
        <v>5.622997E9</v>
      </c>
      <c r="F83" s="4">
        <v>4.865072E9</v>
      </c>
      <c r="G83" s="4">
        <v>4.512484E9</v>
      </c>
      <c r="H83" s="4">
        <v>3.827239E9</v>
      </c>
      <c r="I83" s="4">
        <v>3.638764E9</v>
      </c>
      <c r="J83" s="4">
        <v>3.843099E9</v>
      </c>
      <c r="K83" s="4">
        <v>3.442655E9</v>
      </c>
      <c r="L83" s="4">
        <v>2.754398E9</v>
      </c>
      <c r="M83" s="4">
        <v>1.93213E9</v>
      </c>
      <c r="N83" s="4">
        <v>1.129397E9</v>
      </c>
      <c r="O83" s="4">
        <v>1.293889E9</v>
      </c>
      <c r="P83" s="4">
        <v>2.671673E9</v>
      </c>
      <c r="Q83" s="4">
        <v>2.486969E9</v>
      </c>
      <c r="R83" s="4">
        <v>2.31447E9</v>
      </c>
      <c r="S83" s="4">
        <v>2.461549E9</v>
      </c>
      <c r="T83" s="4">
        <v>2.629203E9</v>
      </c>
      <c r="U83" s="4">
        <v>2.64368E9</v>
      </c>
      <c r="V83" s="4">
        <v>2.513432E9</v>
      </c>
      <c r="W83" s="4">
        <v>2.580416E9</v>
      </c>
      <c r="X83" s="4">
        <v>2.738517E9</v>
      </c>
      <c r="Y83" s="4">
        <v>2.894908E9</v>
      </c>
      <c r="Z83" s="4">
        <v>2.870334E9</v>
      </c>
      <c r="AA83" s="4">
        <v>2.827301E9</v>
      </c>
      <c r="AB83" s="4">
        <v>3.023611E9</v>
      </c>
      <c r="AC83" s="4">
        <v>2.974454E9</v>
      </c>
      <c r="AD83" s="4">
        <v>2.872979E9</v>
      </c>
      <c r="AE83" s="4">
        <v>2.803502E9</v>
      </c>
      <c r="AF83" s="4">
        <v>2.812607E9</v>
      </c>
      <c r="AG83" s="4">
        <v>2.924176E9</v>
      </c>
      <c r="AH83" s="4">
        <v>2.682604E9</v>
      </c>
      <c r="AI83" s="4">
        <v>2.490198E9</v>
      </c>
      <c r="AJ83" s="4">
        <v>2.160762E9</v>
      </c>
      <c r="AK83" s="4">
        <v>2.550908E9</v>
      </c>
      <c r="AL83" s="4">
        <v>2.809756E9</v>
      </c>
      <c r="AM83" s="4">
        <v>2.941063E9</v>
      </c>
      <c r="AN83" s="4">
        <v>2.313188E9</v>
      </c>
      <c r="AO83" s="4">
        <v>2.759195E9</v>
      </c>
      <c r="AP83" s="4">
        <v>2.701845E9</v>
      </c>
      <c r="AQ83" s="4">
        <v>2.680686E9</v>
      </c>
      <c r="AR83" s="4">
        <v>2.631419E9</v>
      </c>
      <c r="AS83" s="4">
        <v>2.881678E9</v>
      </c>
      <c r="AT83" s="4">
        <v>2.753438E9</v>
      </c>
      <c r="AU83" s="4">
        <v>2.748849E9</v>
      </c>
      <c r="AV83" s="4">
        <v>2.492355E9</v>
      </c>
      <c r="AW83" s="4">
        <v>2.603244E9</v>
      </c>
      <c r="AX83" s="4">
        <v>2.667321E9</v>
      </c>
      <c r="AY83" s="4">
        <v>2.661173E9</v>
      </c>
      <c r="AZ83" s="4">
        <v>2.790781E9</v>
      </c>
      <c r="BA83" s="4">
        <v>3.050359E9</v>
      </c>
      <c r="BB83" s="4">
        <v>3.070981E9</v>
      </c>
      <c r="BC83" s="4">
        <v>3.180725E9</v>
      </c>
      <c r="BD83" s="4">
        <v>3.18131E9</v>
      </c>
      <c r="BE83" s="4">
        <v>3.794995E9</v>
      </c>
      <c r="BF83" s="4">
        <v>3.622445E9</v>
      </c>
      <c r="BG83" s="4">
        <v>3.702132E9</v>
      </c>
      <c r="BH83" s="4">
        <v>3.759119E9</v>
      </c>
      <c r="BI83" s="4">
        <v>4.030332E9</v>
      </c>
      <c r="BJ83" s="4">
        <v>3.918979E9</v>
      </c>
      <c r="BK83" s="4">
        <v>4.063047E9</v>
      </c>
      <c r="BL83" s="4">
        <v>4.181793E9</v>
      </c>
      <c r="BM83" s="4">
        <v>6.3142E7</v>
      </c>
      <c r="BN83" s="4">
        <v>8.075E7</v>
      </c>
      <c r="BO83" s="4">
        <v>4.12898E8</v>
      </c>
      <c r="BP83" s="4">
        <v>4.39352E8</v>
      </c>
      <c r="BQ83" s="4">
        <v>2.70395E8</v>
      </c>
      <c r="BR83" s="4">
        <v>7.8138E7</v>
      </c>
      <c r="BS83" s="4">
        <v>2.60531E8</v>
      </c>
      <c r="BT83" s="4">
        <v>1.19056E8</v>
      </c>
      <c r="BU83" s="4">
        <v>3.0666E7</v>
      </c>
      <c r="BV83" s="4">
        <v>3.8492E7</v>
      </c>
      <c r="BW83" s="4">
        <v>2.90066E8</v>
      </c>
      <c r="BX83" s="4">
        <v>1.735E8</v>
      </c>
      <c r="BY83" s="4">
        <v>2.1618E7</v>
      </c>
      <c r="CA83" s="4">
        <v>1.47182E8</v>
      </c>
      <c r="CB83" s="4">
        <v>1.87101E8</v>
      </c>
      <c r="CC83" s="4">
        <v>2.66642E8</v>
      </c>
      <c r="CD83" s="4">
        <v>2.25228E8</v>
      </c>
      <c r="CE83" s="4">
        <v>4.81231E8</v>
      </c>
      <c r="CF83" s="4">
        <v>4.82322E8</v>
      </c>
      <c r="CG83" s="4">
        <v>4.44536E8</v>
      </c>
      <c r="CH83" s="4">
        <v>4.7362E8</v>
      </c>
      <c r="CI83" s="4">
        <v>6.63444E8</v>
      </c>
      <c r="CJ83" s="4">
        <v>6.61747E8</v>
      </c>
      <c r="CK83" s="4">
        <v>5.79715E8</v>
      </c>
      <c r="CL83" s="4">
        <v>5.67489E8</v>
      </c>
      <c r="CM83" s="4">
        <v>2.62818E8</v>
      </c>
      <c r="CN83" s="4">
        <v>2.15655E8</v>
      </c>
      <c r="CO83" s="4">
        <v>1.56797E8</v>
      </c>
      <c r="CQ83" s="4">
        <v>1.471E8</v>
      </c>
      <c r="CR83" s="4">
        <v>1.261E8</v>
      </c>
      <c r="CS83" s="4">
        <v>8.93E7</v>
      </c>
      <c r="CU83" s="4">
        <v>2.422E8</v>
      </c>
      <c r="CV83" s="4">
        <v>1.286E8</v>
      </c>
      <c r="CW83" s="4">
        <v>8.36E7</v>
      </c>
      <c r="CX83" s="4">
        <v>1.7549E7</v>
      </c>
      <c r="CY83" s="4">
        <v>1.834E8</v>
      </c>
      <c r="CZ83" s="4">
        <v>3.63E7</v>
      </c>
      <c r="DA83" s="4">
        <v>2.03E7</v>
      </c>
      <c r="DB83" s="4">
        <v>3.6518E7</v>
      </c>
      <c r="DC83" s="4">
        <v>1.807E8</v>
      </c>
      <c r="DD83" s="4">
        <v>6.57E7</v>
      </c>
      <c r="DE83" s="4">
        <v>8.94E7</v>
      </c>
      <c r="DF83" s="4">
        <v>7.2616E7</v>
      </c>
      <c r="DG83" s="4">
        <v>2.009E8</v>
      </c>
      <c r="DH83" s="4">
        <v>1.156E8</v>
      </c>
      <c r="DI83" s="4">
        <v>6.07E7</v>
      </c>
      <c r="DJ83" s="4">
        <v>2763000.0</v>
      </c>
      <c r="DK83" s="4">
        <v>9.29E7</v>
      </c>
      <c r="DL83" s="4">
        <v>4.12E7</v>
      </c>
      <c r="DM83" s="4">
        <v>2800000.0</v>
      </c>
      <c r="DO83" s="4">
        <v>4.17E7</v>
      </c>
      <c r="DP83" s="4">
        <v>1.87E7</v>
      </c>
      <c r="DQ83" s="4">
        <v>1.5E7</v>
      </c>
      <c r="DS83" s="4">
        <v>3.61E7</v>
      </c>
      <c r="DT83" s="4">
        <v>2.05E7</v>
      </c>
      <c r="DU83" s="4">
        <v>1.09E7</v>
      </c>
      <c r="DV83" s="4">
        <v>1.46E7</v>
      </c>
      <c r="DW83" s="4">
        <v>4.84E7</v>
      </c>
      <c r="DX83" s="4">
        <v>3.08E7</v>
      </c>
      <c r="DY83" s="4">
        <v>1.98E7</v>
      </c>
      <c r="DZ83" s="4">
        <v>1.68E7</v>
      </c>
      <c r="EA83" s="4">
        <v>5.8E7</v>
      </c>
      <c r="EB83" s="4">
        <v>5.81E7</v>
      </c>
      <c r="EC83" s="4">
        <v>4.61E7</v>
      </c>
      <c r="ED83" s="4">
        <v>2.81E7</v>
      </c>
      <c r="EE83" s="4">
        <v>6.6E7</v>
      </c>
      <c r="EF83" s="4">
        <v>6.28E7</v>
      </c>
      <c r="EG83" s="4">
        <v>4.07E7</v>
      </c>
      <c r="EH83" s="4">
        <v>5.79E7</v>
      </c>
      <c r="EI83" s="4">
        <v>5.36E7</v>
      </c>
      <c r="EJ83" s="4">
        <v>6.4E7</v>
      </c>
    </row>
    <row r="84">
      <c r="A84" s="1" t="s">
        <v>83</v>
      </c>
      <c r="B84" s="4">
        <v>2.1947E8</v>
      </c>
      <c r="C84" s="4">
        <v>2.19336E8</v>
      </c>
      <c r="D84" s="4">
        <v>2.19105E8</v>
      </c>
      <c r="E84" s="4">
        <v>2.23575E8</v>
      </c>
      <c r="F84" s="4">
        <v>2.25567E8</v>
      </c>
      <c r="G84" s="4">
        <v>2.26997E8</v>
      </c>
      <c r="H84" s="4">
        <v>2.30016E8</v>
      </c>
      <c r="I84" s="4">
        <v>2.31706E8</v>
      </c>
      <c r="J84" s="4">
        <v>2.33305E8</v>
      </c>
      <c r="K84" s="4">
        <v>2.36205E8</v>
      </c>
      <c r="L84" s="4">
        <v>2.40785E8</v>
      </c>
      <c r="M84" s="4">
        <v>2.45E8</v>
      </c>
      <c r="N84" s="4">
        <v>2.49033E8</v>
      </c>
      <c r="O84" s="4">
        <v>2.51722E8</v>
      </c>
      <c r="P84" s="4">
        <v>2.51936E8</v>
      </c>
      <c r="Q84" s="4">
        <v>2.546E8</v>
      </c>
      <c r="R84" s="4">
        <v>2.57068E8</v>
      </c>
      <c r="S84" s="4">
        <v>2.58322E8</v>
      </c>
      <c r="T84" s="4">
        <v>2.59511E8</v>
      </c>
      <c r="U84" s="4">
        <v>2.62884331E8</v>
      </c>
      <c r="V84" s="4">
        <v>2.65534401E8</v>
      </c>
      <c r="W84" s="4">
        <v>2.67557504E8</v>
      </c>
      <c r="X84" s="4">
        <v>2.68733E8</v>
      </c>
      <c r="Y84" s="4">
        <v>2.71563597E8</v>
      </c>
      <c r="Z84" s="4">
        <v>2.73259005E8</v>
      </c>
      <c r="AA84" s="4">
        <v>2.74225125E8</v>
      </c>
      <c r="AB84" s="4">
        <v>2.75212E8</v>
      </c>
      <c r="AC84" s="4">
        <v>2.7626426E8</v>
      </c>
      <c r="AD84" s="4">
        <v>2.81744265E8</v>
      </c>
      <c r="AE84" s="4">
        <v>2.83778285E8</v>
      </c>
      <c r="AF84" s="4">
        <v>2.86694E8</v>
      </c>
      <c r="AG84" s="4">
        <v>2.9093451E8</v>
      </c>
      <c r="AH84" s="4">
        <v>2.94659578E8</v>
      </c>
      <c r="AI84" s="4">
        <v>2.971085E8</v>
      </c>
      <c r="AJ84" s="4">
        <v>3.03447E8</v>
      </c>
      <c r="AK84" s="4">
        <v>3.0342592E8</v>
      </c>
      <c r="AL84" s="4">
        <v>3.03397106E8</v>
      </c>
      <c r="AM84" s="4">
        <v>3.03303655E8</v>
      </c>
      <c r="AN84" s="4">
        <v>3.17058E8</v>
      </c>
      <c r="AO84" s="4">
        <v>3.20255172E8</v>
      </c>
      <c r="AP84" s="4">
        <v>3.23608057E8</v>
      </c>
      <c r="AQ84" s="4">
        <v>3.27395122E8</v>
      </c>
      <c r="AR84" s="4">
        <v>3.27069E8</v>
      </c>
      <c r="AS84" s="4">
        <v>3.28712549E8</v>
      </c>
      <c r="AT84" s="4">
        <v>3.33695858E8</v>
      </c>
      <c r="AU84" s="4">
        <v>3.32326972E8</v>
      </c>
      <c r="AV84" s="4">
        <v>3.38089E8</v>
      </c>
      <c r="AW84" s="4">
        <v>3.42263844E8</v>
      </c>
      <c r="AX84" s="4">
        <v>3.41532297E8</v>
      </c>
      <c r="AY84" s="4">
        <v>3.41535481E8</v>
      </c>
      <c r="AZ84" s="4">
        <v>3.41507E8</v>
      </c>
      <c r="BA84" s="4">
        <v>3.411016E8</v>
      </c>
      <c r="BB84" s="4">
        <v>3.41038564E8</v>
      </c>
      <c r="BC84" s="4">
        <v>3.41004089E8</v>
      </c>
      <c r="BD84" s="4">
        <v>3.40586E8</v>
      </c>
      <c r="BE84" s="4">
        <v>3.40644825E8</v>
      </c>
      <c r="BF84" s="4">
        <v>3.40644825E8</v>
      </c>
      <c r="BG84" s="4">
        <v>3.40644825E8</v>
      </c>
      <c r="BH84" s="4">
        <v>3.40644825E8</v>
      </c>
      <c r="BI84" s="4">
        <v>3.40644825E8</v>
      </c>
      <c r="BJ84" s="4">
        <v>3.40644825E8</v>
      </c>
      <c r="BK84" s="4">
        <v>3.40644825E8</v>
      </c>
      <c r="BL84" s="4">
        <v>3.40644825E8</v>
      </c>
      <c r="BM84" s="4">
        <v>3.40644825E8</v>
      </c>
      <c r="BN84" s="4">
        <v>3.40644825E8</v>
      </c>
      <c r="BO84" s="4">
        <v>3.40644825E8</v>
      </c>
      <c r="BP84" s="4">
        <v>3.40644825E8</v>
      </c>
      <c r="BQ84" s="4">
        <v>3.40644825E8</v>
      </c>
      <c r="BR84" s="4">
        <v>3.40644825E8</v>
      </c>
      <c r="BS84" s="4">
        <v>3.40644825E8</v>
      </c>
      <c r="BT84" s="4">
        <v>3.40644825E8</v>
      </c>
      <c r="BU84" s="4">
        <v>3.40644825E8</v>
      </c>
      <c r="BV84" s="4">
        <v>3.40644825E8</v>
      </c>
      <c r="BW84" s="4">
        <v>3.40644825E8</v>
      </c>
      <c r="BX84" s="4">
        <v>3.40644825E8</v>
      </c>
      <c r="BY84" s="4">
        <v>3.40644825E8</v>
      </c>
      <c r="BZ84" s="4">
        <v>3.40644825E8</v>
      </c>
      <c r="CA84" s="4">
        <v>3.40644825E8</v>
      </c>
      <c r="CB84" s="4">
        <v>3.40644825E8</v>
      </c>
      <c r="CC84" s="4">
        <v>3.40644825E8</v>
      </c>
      <c r="CD84" s="4">
        <v>3.40644825E8</v>
      </c>
      <c r="CE84" s="4">
        <v>3.40644825E8</v>
      </c>
      <c r="CF84" s="4">
        <v>3.40644825E8</v>
      </c>
      <c r="CG84" s="4">
        <v>3.40644825E8</v>
      </c>
      <c r="CH84" s="4">
        <v>3.40644825E8</v>
      </c>
      <c r="CI84" s="4">
        <v>3.40644825E8</v>
      </c>
      <c r="CJ84" s="4">
        <v>3.40644825E8</v>
      </c>
      <c r="CK84" s="4">
        <v>3.40644825E8</v>
      </c>
      <c r="CL84" s="4">
        <v>3.40644825E8</v>
      </c>
      <c r="CM84" s="4">
        <v>3.40644825E8</v>
      </c>
      <c r="CN84" s="4">
        <v>3.40644825E8</v>
      </c>
      <c r="CO84" s="4">
        <v>3.40644825E8</v>
      </c>
      <c r="CP84" s="4">
        <v>3.40644825E8</v>
      </c>
      <c r="CQ84" s="4">
        <v>3.40644825E8</v>
      </c>
      <c r="CR84" s="4">
        <v>3.40644825E8</v>
      </c>
      <c r="CS84" s="4">
        <v>3.40644825E8</v>
      </c>
      <c r="CT84" s="4">
        <v>3.40644825E8</v>
      </c>
      <c r="CU84" s="4">
        <v>3.40644825E8</v>
      </c>
      <c r="CV84" s="4">
        <v>3.40644825E8</v>
      </c>
      <c r="CW84" s="4">
        <v>3.40644825E8</v>
      </c>
      <c r="CX84" s="4">
        <v>3.40644825E8</v>
      </c>
      <c r="CY84" s="4">
        <v>3.40644825E8</v>
      </c>
      <c r="CZ84" s="4">
        <v>3.40644825E8</v>
      </c>
      <c r="DA84" s="4">
        <v>3.40644825E8</v>
      </c>
      <c r="DB84" s="4">
        <v>3.40644825E8</v>
      </c>
      <c r="DC84" s="4">
        <v>3.40644825E8</v>
      </c>
      <c r="DD84" s="4">
        <v>3.40644825E8</v>
      </c>
      <c r="DE84" s="4">
        <v>3.40644825E8</v>
      </c>
      <c r="DF84" s="4">
        <v>3.40644825E8</v>
      </c>
      <c r="DG84" s="4">
        <v>3.40644825E8</v>
      </c>
      <c r="DH84" s="4">
        <v>3.40644825E8</v>
      </c>
      <c r="DI84" s="4">
        <v>3.40644825E8</v>
      </c>
      <c r="DJ84" s="4">
        <v>3.40644825E8</v>
      </c>
      <c r="DK84" s="4">
        <v>3.40644825E8</v>
      </c>
      <c r="DL84" s="4">
        <v>3.40644825E8</v>
      </c>
      <c r="DM84" s="4">
        <v>3.40644825E8</v>
      </c>
      <c r="DN84" s="4">
        <v>3.40644825E8</v>
      </c>
      <c r="DO84" s="4">
        <v>3.40644825E8</v>
      </c>
      <c r="DP84" s="4">
        <v>3.40644825E8</v>
      </c>
      <c r="DQ84" s="4">
        <v>3.40644825E8</v>
      </c>
      <c r="DR84" s="4">
        <v>3.40644825E8</v>
      </c>
      <c r="DS84" s="4">
        <v>3.40644825E8</v>
      </c>
      <c r="DT84" s="4">
        <v>3.40644825E8</v>
      </c>
      <c r="DU84" s="4">
        <v>3.40644825E8</v>
      </c>
      <c r="DV84" s="4">
        <v>3.40644825E8</v>
      </c>
      <c r="DW84" s="4">
        <v>3.40644825E8</v>
      </c>
      <c r="DX84" s="4">
        <v>3.40644825E8</v>
      </c>
      <c r="DY84" s="4">
        <v>3.40644825E8</v>
      </c>
      <c r="DZ84" s="4">
        <v>3.40644825E8</v>
      </c>
      <c r="EA84" s="4">
        <v>3.40644825E8</v>
      </c>
      <c r="EB84" s="4">
        <v>3.40644825E8</v>
      </c>
      <c r="EC84" s="4">
        <v>3.40644825E8</v>
      </c>
      <c r="ED84" s="4">
        <v>3.40644825E8</v>
      </c>
      <c r="EE84" s="4">
        <v>3.40644825E8</v>
      </c>
      <c r="EF84" s="4">
        <v>3.40644825E8</v>
      </c>
      <c r="EG84" s="4">
        <v>3.40644825E8</v>
      </c>
      <c r="EH84" s="4">
        <v>3.40644825E8</v>
      </c>
      <c r="EI84" s="4">
        <v>3.40644825E8</v>
      </c>
      <c r="EJ84" s="4">
        <v>3.40644825E8</v>
      </c>
    </row>
    <row r="85">
      <c r="A85" s="1" t="s">
        <v>84</v>
      </c>
      <c r="B85" s="4">
        <v>2.1947E8</v>
      </c>
      <c r="C85" s="4">
        <v>2.19336E8</v>
      </c>
      <c r="D85" s="4">
        <v>2.19105E8</v>
      </c>
      <c r="E85" s="4">
        <v>2.23575E8</v>
      </c>
      <c r="F85" s="4">
        <v>2.25567E8</v>
      </c>
      <c r="G85" s="4">
        <v>2.26997E8</v>
      </c>
      <c r="H85" s="4">
        <v>2.30016E8</v>
      </c>
      <c r="I85" s="4">
        <v>2.31706E8</v>
      </c>
      <c r="J85" s="4">
        <v>2.33305E8</v>
      </c>
      <c r="K85" s="4">
        <v>2.36205E8</v>
      </c>
      <c r="L85" s="4">
        <v>2.40785E8</v>
      </c>
      <c r="M85" s="4">
        <v>2.45E8</v>
      </c>
      <c r="N85" s="4">
        <v>2.49033E8</v>
      </c>
      <c r="O85" s="4">
        <v>2.51722E8</v>
      </c>
      <c r="P85" s="4">
        <v>2.51936E8</v>
      </c>
      <c r="Q85" s="4">
        <v>2.546E8</v>
      </c>
      <c r="R85" s="4">
        <v>2.57068E8</v>
      </c>
      <c r="S85" s="4">
        <v>2.58322E8</v>
      </c>
      <c r="T85" s="4">
        <v>2.59511E8</v>
      </c>
      <c r="U85" s="4">
        <v>2.62884331E8</v>
      </c>
      <c r="V85" s="4">
        <v>2.65534401E8</v>
      </c>
      <c r="W85" s="4">
        <v>2.67557504E8</v>
      </c>
      <c r="X85" s="4">
        <v>2.68733E8</v>
      </c>
      <c r="Y85" s="4">
        <v>2.71563597E8</v>
      </c>
      <c r="Z85" s="4">
        <v>2.73259005E8</v>
      </c>
      <c r="AA85" s="4">
        <v>2.74225125E8</v>
      </c>
      <c r="AB85" s="4">
        <v>2.75212E8</v>
      </c>
      <c r="AC85" s="4">
        <v>2.7626426E8</v>
      </c>
      <c r="AD85" s="4">
        <v>2.81744265E8</v>
      </c>
      <c r="AE85" s="4">
        <v>2.83778285E8</v>
      </c>
      <c r="AF85" s="4">
        <v>2.86694E8</v>
      </c>
      <c r="AG85" s="4">
        <v>2.9093451E8</v>
      </c>
      <c r="AH85" s="4">
        <v>2.94659578E8</v>
      </c>
      <c r="AI85" s="4">
        <v>2.971085E8</v>
      </c>
      <c r="AJ85" s="4">
        <v>3.03447E8</v>
      </c>
      <c r="AK85" s="4">
        <v>3.0342592E8</v>
      </c>
      <c r="AL85" s="4">
        <v>3.03397106E8</v>
      </c>
      <c r="AM85" s="4">
        <v>3.03303655E8</v>
      </c>
      <c r="AN85" s="4">
        <v>3.17058E8</v>
      </c>
      <c r="AO85" s="4">
        <v>3.20255172E8</v>
      </c>
      <c r="AP85" s="4">
        <v>3.23608057E8</v>
      </c>
      <c r="AQ85" s="4">
        <v>3.27395122E8</v>
      </c>
      <c r="AR85" s="4">
        <v>3.27069E8</v>
      </c>
      <c r="AS85" s="4">
        <v>3.28712549E8</v>
      </c>
      <c r="AT85" s="4">
        <v>3.33695858E8</v>
      </c>
      <c r="AU85" s="4">
        <v>3.32326972E8</v>
      </c>
      <c r="AV85" s="4">
        <v>3.38089E8</v>
      </c>
      <c r="AW85" s="4">
        <v>3.42263844E8</v>
      </c>
      <c r="AX85" s="4">
        <v>3.41532297E8</v>
      </c>
      <c r="AY85" s="4">
        <v>3.41535481E8</v>
      </c>
      <c r="AZ85" s="4">
        <v>3.41507E8</v>
      </c>
      <c r="BA85" s="4">
        <v>3.411016E8</v>
      </c>
      <c r="BB85" s="4">
        <v>3.41038564E8</v>
      </c>
      <c r="BC85" s="4">
        <v>3.41004089E8</v>
      </c>
      <c r="BD85" s="4">
        <v>3.40586E8</v>
      </c>
      <c r="BE85" s="4">
        <v>3.40644825E8</v>
      </c>
      <c r="BF85" s="4">
        <v>3.40644825E8</v>
      </c>
      <c r="BG85" s="4">
        <v>3.40644825E8</v>
      </c>
      <c r="BH85" s="4">
        <v>3.40644825E8</v>
      </c>
      <c r="BI85" s="4">
        <v>3.40644825E8</v>
      </c>
      <c r="BJ85" s="4">
        <v>3.40644825E8</v>
      </c>
      <c r="BK85" s="4">
        <v>3.40644825E8</v>
      </c>
      <c r="BL85" s="4">
        <v>3.40644825E8</v>
      </c>
      <c r="BM85" s="4">
        <v>3.40644825E8</v>
      </c>
      <c r="BN85" s="4">
        <v>3.40644825E8</v>
      </c>
      <c r="BO85" s="4">
        <v>3.40644825E8</v>
      </c>
      <c r="BP85" s="4">
        <v>3.40644825E8</v>
      </c>
      <c r="BQ85" s="4">
        <v>3.40644825E8</v>
      </c>
      <c r="BR85" s="4">
        <v>3.40644825E8</v>
      </c>
      <c r="BS85" s="4">
        <v>3.40644825E8</v>
      </c>
      <c r="BT85" s="4">
        <v>3.40644825E8</v>
      </c>
      <c r="BU85" s="4">
        <v>3.40644825E8</v>
      </c>
      <c r="BV85" s="4">
        <v>3.40644825E8</v>
      </c>
      <c r="BW85" s="4">
        <v>3.40644825E8</v>
      </c>
      <c r="BX85" s="4">
        <v>3.40644825E8</v>
      </c>
      <c r="BY85" s="4">
        <v>3.40644825E8</v>
      </c>
      <c r="BZ85" s="4">
        <v>3.40644825E8</v>
      </c>
      <c r="CA85" s="4">
        <v>3.40644825E8</v>
      </c>
      <c r="CB85" s="4">
        <v>3.40644825E8</v>
      </c>
      <c r="CC85" s="4">
        <v>3.40644825E8</v>
      </c>
      <c r="CD85" s="4">
        <v>3.40644825E8</v>
      </c>
      <c r="CE85" s="4">
        <v>3.40644825E8</v>
      </c>
      <c r="CF85" s="4">
        <v>3.40644825E8</v>
      </c>
      <c r="CG85" s="4">
        <v>3.40644825E8</v>
      </c>
      <c r="CH85" s="4">
        <v>3.40644825E8</v>
      </c>
      <c r="CI85" s="4">
        <v>3.40644825E8</v>
      </c>
      <c r="CJ85" s="4">
        <v>3.40644825E8</v>
      </c>
      <c r="CK85" s="4">
        <v>3.40644825E8</v>
      </c>
      <c r="CL85" s="4">
        <v>3.40644825E8</v>
      </c>
      <c r="CM85" s="4">
        <v>3.40644825E8</v>
      </c>
      <c r="CN85" s="4">
        <v>3.40644825E8</v>
      </c>
      <c r="CO85" s="4">
        <v>3.40644825E8</v>
      </c>
      <c r="CP85" s="4">
        <v>3.40644825E8</v>
      </c>
      <c r="CQ85" s="4">
        <v>3.40644825E8</v>
      </c>
      <c r="CR85" s="4">
        <v>3.40644825E8</v>
      </c>
      <c r="CS85" s="4">
        <v>3.40644825E8</v>
      </c>
      <c r="CT85" s="4">
        <v>3.40644825E8</v>
      </c>
      <c r="CU85" s="4">
        <v>3.40644825E8</v>
      </c>
      <c r="CV85" s="4">
        <v>3.40644825E8</v>
      </c>
      <c r="CW85" s="4">
        <v>3.40644825E8</v>
      </c>
      <c r="CX85" s="4">
        <v>3.40644825E8</v>
      </c>
      <c r="CY85" s="4">
        <v>3.40644825E8</v>
      </c>
      <c r="CZ85" s="4">
        <v>3.40644825E8</v>
      </c>
      <c r="DA85" s="4">
        <v>3.40644825E8</v>
      </c>
      <c r="DB85" s="4">
        <v>3.40644825E8</v>
      </c>
      <c r="DC85" s="4">
        <v>3.40644825E8</v>
      </c>
      <c r="DD85" s="4">
        <v>3.40644825E8</v>
      </c>
      <c r="DE85" s="4">
        <v>3.40644825E8</v>
      </c>
      <c r="DF85" s="4">
        <v>3.40644825E8</v>
      </c>
      <c r="DG85" s="4">
        <v>3.40644825E8</v>
      </c>
      <c r="DH85" s="4">
        <v>3.40644825E8</v>
      </c>
      <c r="DI85" s="4">
        <v>3.40644825E8</v>
      </c>
      <c r="DJ85" s="4">
        <v>3.40644825E8</v>
      </c>
      <c r="DK85" s="4">
        <v>3.40644825E8</v>
      </c>
      <c r="DL85" s="4">
        <v>3.40644825E8</v>
      </c>
      <c r="DM85" s="4">
        <v>3.40644825E8</v>
      </c>
      <c r="DN85" s="4">
        <v>3.40644825E8</v>
      </c>
      <c r="DO85" s="4">
        <v>3.40644825E8</v>
      </c>
      <c r="DP85" s="4">
        <v>3.40644825E8</v>
      </c>
      <c r="DQ85" s="4">
        <v>3.40644825E8</v>
      </c>
      <c r="DR85" s="4">
        <v>3.40644825E8</v>
      </c>
      <c r="DS85" s="4">
        <v>3.40644825E8</v>
      </c>
      <c r="DT85" s="4">
        <v>3.40644825E8</v>
      </c>
      <c r="DU85" s="4">
        <v>3.40644825E8</v>
      </c>
      <c r="DV85" s="4">
        <v>3.40644825E8</v>
      </c>
      <c r="DW85" s="4">
        <v>3.40644825E8</v>
      </c>
      <c r="DX85" s="4">
        <v>3.40644825E8</v>
      </c>
      <c r="DY85" s="4">
        <v>3.40644825E8</v>
      </c>
      <c r="DZ85" s="4">
        <v>3.40644825E8</v>
      </c>
      <c r="EA85" s="4">
        <v>3.40644825E8</v>
      </c>
      <c r="EB85" s="4">
        <v>3.40644825E8</v>
      </c>
      <c r="EC85" s="4">
        <v>3.40644825E8</v>
      </c>
      <c r="ED85" s="4">
        <v>3.40644825E8</v>
      </c>
      <c r="EE85" s="4">
        <v>3.40644825E8</v>
      </c>
      <c r="EF85" s="4">
        <v>3.40644825E8</v>
      </c>
      <c r="EG85" s="4">
        <v>3.40644825E8</v>
      </c>
      <c r="EH85" s="4">
        <v>3.40644825E8</v>
      </c>
      <c r="EI85" s="4">
        <v>3.40644825E8</v>
      </c>
      <c r="EJ85" s="4">
        <v>3.40644825E8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85</v>
      </c>
      <c r="C1" s="6">
        <v>45138.0</v>
      </c>
      <c r="D1" s="6">
        <v>45046.0</v>
      </c>
      <c r="E1" s="6">
        <v>44957.0</v>
      </c>
      <c r="F1" s="7">
        <v>44865.0</v>
      </c>
      <c r="G1" s="6">
        <v>44773.0</v>
      </c>
      <c r="H1" s="6">
        <v>44681.0</v>
      </c>
      <c r="I1" s="6">
        <v>44592.0</v>
      </c>
      <c r="J1" s="7">
        <v>44500.0</v>
      </c>
      <c r="K1" s="6">
        <v>44408.0</v>
      </c>
      <c r="L1" s="6">
        <v>44316.0</v>
      </c>
      <c r="M1" s="6">
        <v>44227.0</v>
      </c>
      <c r="N1" s="7">
        <v>44135.0</v>
      </c>
      <c r="O1" s="6">
        <v>44043.0</v>
      </c>
      <c r="P1" s="6">
        <v>43951.0</v>
      </c>
      <c r="Q1" s="6">
        <v>43861.0</v>
      </c>
      <c r="R1" s="7">
        <v>43769.0</v>
      </c>
      <c r="S1" s="6">
        <v>43677.0</v>
      </c>
      <c r="T1" s="6">
        <v>43585.0</v>
      </c>
      <c r="U1" s="6">
        <v>43496.0</v>
      </c>
      <c r="V1" s="7">
        <v>43404.0</v>
      </c>
      <c r="W1" s="6">
        <v>43312.0</v>
      </c>
      <c r="X1" s="6">
        <v>43220.0</v>
      </c>
      <c r="Y1" s="6">
        <v>43131.0</v>
      </c>
      <c r="Z1" s="7">
        <v>43039.0</v>
      </c>
      <c r="AA1" s="6">
        <v>42947.0</v>
      </c>
      <c r="AB1" s="6">
        <v>42855.0</v>
      </c>
      <c r="AC1" s="6">
        <v>42766.0</v>
      </c>
      <c r="AD1" s="7">
        <v>42674.0</v>
      </c>
      <c r="AE1" s="6">
        <v>42582.0</v>
      </c>
      <c r="AF1" s="6">
        <v>42490.0</v>
      </c>
      <c r="AG1" s="6">
        <v>42400.0</v>
      </c>
      <c r="AH1" s="7">
        <v>42308.0</v>
      </c>
      <c r="AI1" s="6">
        <v>42216.0</v>
      </c>
      <c r="AJ1" s="6">
        <v>42124.0</v>
      </c>
      <c r="AK1" s="6">
        <v>42035.0</v>
      </c>
      <c r="AL1" s="7">
        <v>41943.0</v>
      </c>
      <c r="AM1" s="6">
        <v>41851.0</v>
      </c>
      <c r="AN1" s="6">
        <v>41759.0</v>
      </c>
      <c r="AO1" s="6">
        <v>41670.0</v>
      </c>
      <c r="AP1" s="7">
        <v>41578.0</v>
      </c>
      <c r="AQ1" s="6">
        <v>41486.0</v>
      </c>
      <c r="AR1" s="6">
        <v>41394.0</v>
      </c>
      <c r="AS1" s="6">
        <v>41305.0</v>
      </c>
      <c r="AT1" s="7">
        <v>41213.0</v>
      </c>
      <c r="AU1" s="6">
        <v>41121.0</v>
      </c>
      <c r="AV1" s="6">
        <v>41029.0</v>
      </c>
      <c r="AW1" s="6">
        <v>40939.0</v>
      </c>
      <c r="AX1" s="7">
        <v>40847.0</v>
      </c>
      <c r="AY1" s="6">
        <v>40755.0</v>
      </c>
      <c r="AZ1" s="6">
        <v>40663.0</v>
      </c>
      <c r="BA1" s="6">
        <v>40574.0</v>
      </c>
      <c r="BB1" s="7">
        <v>40482.0</v>
      </c>
      <c r="BC1" s="6">
        <v>40390.0</v>
      </c>
      <c r="BD1" s="6">
        <v>40298.0</v>
      </c>
      <c r="BE1" s="6">
        <v>40209.0</v>
      </c>
      <c r="BF1" s="7">
        <v>40117.0</v>
      </c>
      <c r="BG1" s="6">
        <v>40025.0</v>
      </c>
      <c r="BH1" s="6">
        <v>39933.0</v>
      </c>
      <c r="BI1" s="6">
        <v>39844.0</v>
      </c>
      <c r="BJ1" s="7">
        <v>39752.0</v>
      </c>
      <c r="BK1" s="6">
        <v>39660.0</v>
      </c>
      <c r="BL1" s="6">
        <v>39568.0</v>
      </c>
      <c r="BM1" s="6">
        <v>39478.0</v>
      </c>
      <c r="BN1" s="7">
        <v>39386.0</v>
      </c>
      <c r="BO1" s="6">
        <v>39294.0</v>
      </c>
      <c r="BP1" s="6">
        <v>39202.0</v>
      </c>
      <c r="BQ1" s="6">
        <v>39113.0</v>
      </c>
      <c r="BR1" s="7">
        <v>39021.0</v>
      </c>
      <c r="BS1" s="6">
        <v>38929.0</v>
      </c>
      <c r="BT1" s="6">
        <v>38837.0</v>
      </c>
      <c r="BU1" s="6">
        <v>38748.0</v>
      </c>
      <c r="BV1" s="7">
        <v>38656.0</v>
      </c>
      <c r="BW1" s="6">
        <v>38564.0</v>
      </c>
      <c r="BX1" s="6">
        <v>38472.0</v>
      </c>
      <c r="BY1" s="6">
        <v>38383.0</v>
      </c>
      <c r="BZ1" s="7">
        <v>38291.0</v>
      </c>
      <c r="CA1" s="6">
        <v>38199.0</v>
      </c>
      <c r="CB1" s="6">
        <v>38107.0</v>
      </c>
      <c r="CC1" s="6">
        <v>38017.0</v>
      </c>
      <c r="CD1" s="7">
        <v>37925.0</v>
      </c>
      <c r="CE1" s="6">
        <v>37833.0</v>
      </c>
      <c r="CF1" s="6">
        <v>37741.0</v>
      </c>
      <c r="CG1" s="6">
        <v>37652.0</v>
      </c>
      <c r="CH1" s="7">
        <v>37560.0</v>
      </c>
      <c r="CI1" s="6">
        <v>37468.0</v>
      </c>
      <c r="CJ1" s="6">
        <v>37376.0</v>
      </c>
      <c r="CK1" s="6">
        <v>37287.0</v>
      </c>
      <c r="CL1" s="7">
        <v>37195.0</v>
      </c>
      <c r="CM1" s="6">
        <v>37103.0</v>
      </c>
      <c r="CN1" s="6">
        <v>37011.0</v>
      </c>
      <c r="CO1" s="6">
        <v>36922.0</v>
      </c>
      <c r="CP1" s="7">
        <v>36830.0</v>
      </c>
      <c r="CQ1" s="6">
        <v>36738.0</v>
      </c>
      <c r="CR1" s="6">
        <v>36646.0</v>
      </c>
      <c r="CS1" s="6">
        <v>36556.0</v>
      </c>
      <c r="CT1" s="7">
        <v>36464.0</v>
      </c>
      <c r="CU1" s="6">
        <v>36372.0</v>
      </c>
      <c r="CV1" s="6">
        <v>36280.0</v>
      </c>
      <c r="CW1" s="6">
        <v>36191.0</v>
      </c>
      <c r="CX1" s="7">
        <v>36099.0</v>
      </c>
      <c r="CY1" s="6">
        <v>36007.0</v>
      </c>
      <c r="CZ1" s="6">
        <v>35915.0</v>
      </c>
      <c r="DA1" s="6">
        <v>35826.0</v>
      </c>
      <c r="DB1" s="7">
        <v>35734.0</v>
      </c>
      <c r="DC1" s="6">
        <v>35642.0</v>
      </c>
      <c r="DD1" s="6">
        <v>35550.0</v>
      </c>
      <c r="DE1" s="6">
        <v>35461.0</v>
      </c>
      <c r="DF1" s="7">
        <v>35369.0</v>
      </c>
      <c r="DG1" s="6">
        <v>35277.0</v>
      </c>
      <c r="DH1" s="6">
        <v>35185.0</v>
      </c>
      <c r="DI1" s="6">
        <v>35095.0</v>
      </c>
      <c r="DJ1" s="7">
        <v>35003.0</v>
      </c>
      <c r="DK1" s="6">
        <v>34911.0</v>
      </c>
      <c r="DL1" s="6">
        <v>34819.0</v>
      </c>
      <c r="DM1" s="6">
        <v>34730.0</v>
      </c>
      <c r="DN1" s="7">
        <v>34638.0</v>
      </c>
      <c r="DO1" s="6">
        <v>34546.0</v>
      </c>
      <c r="DP1" s="6">
        <v>34454.0</v>
      </c>
      <c r="DQ1" s="6">
        <v>34365.0</v>
      </c>
      <c r="DR1" s="7">
        <v>34273.0</v>
      </c>
      <c r="DS1" s="6">
        <v>34181.0</v>
      </c>
      <c r="DT1" s="6">
        <v>34089.0</v>
      </c>
      <c r="DU1" s="6">
        <v>34000.0</v>
      </c>
      <c r="DV1" s="7">
        <v>33908.0</v>
      </c>
      <c r="DW1" s="6">
        <v>33816.0</v>
      </c>
      <c r="DX1" s="6">
        <v>33724.0</v>
      </c>
      <c r="DY1" s="6">
        <v>33634.0</v>
      </c>
      <c r="DZ1" s="7">
        <v>33542.0</v>
      </c>
      <c r="EA1" s="6">
        <v>33450.0</v>
      </c>
      <c r="EB1" s="6">
        <v>33358.0</v>
      </c>
      <c r="EC1" s="6">
        <v>33269.0</v>
      </c>
      <c r="ED1" s="7">
        <v>33177.0</v>
      </c>
      <c r="EE1" s="6">
        <v>33085.0</v>
      </c>
      <c r="EF1" s="6">
        <v>32993.0</v>
      </c>
      <c r="EG1" s="6">
        <v>32904.0</v>
      </c>
      <c r="EH1" s="7">
        <v>32812.0</v>
      </c>
      <c r="EI1" s="6">
        <v>32720.0</v>
      </c>
      <c r="EJ1" s="6">
        <v>32628.0</v>
      </c>
      <c r="EK1" s="6">
        <v>32539.0</v>
      </c>
      <c r="EL1" s="7">
        <v>32447.0</v>
      </c>
      <c r="EM1" s="6">
        <v>32355.0</v>
      </c>
      <c r="EN1" s="6">
        <v>32263.0</v>
      </c>
      <c r="EO1" s="7">
        <v>32142.0</v>
      </c>
      <c r="EP1" s="6">
        <v>32050.0</v>
      </c>
      <c r="EQ1" s="6">
        <v>31958.0</v>
      </c>
      <c r="ER1" s="6">
        <v>31867.0</v>
      </c>
      <c r="ES1" s="7">
        <v>31777.0</v>
      </c>
      <c r="ET1" s="6">
        <v>31685.0</v>
      </c>
      <c r="EU1" s="6">
        <v>31593.0</v>
      </c>
      <c r="EV1" s="6">
        <v>31502.0</v>
      </c>
      <c r="EW1" s="7">
        <v>31412.0</v>
      </c>
      <c r="EX1" s="6">
        <v>31320.0</v>
      </c>
      <c r="EY1" s="5"/>
      <c r="EZ1" s="5"/>
    </row>
    <row r="2">
      <c r="A2" s="5" t="s">
        <v>86</v>
      </c>
      <c r="B2" s="8">
        <v>3.8806811E10</v>
      </c>
      <c r="C2" s="8">
        <v>9.796181E9</v>
      </c>
      <c r="D2" s="8">
        <v>9.342832E9</v>
      </c>
      <c r="E2" s="8">
        <v>1.0202907E10</v>
      </c>
      <c r="F2" s="8">
        <v>9.464891E9</v>
      </c>
      <c r="G2" s="8">
        <v>9.425713E9</v>
      </c>
      <c r="H2" s="8">
        <v>8.751352E9</v>
      </c>
      <c r="I2" s="8">
        <v>8.651448E9</v>
      </c>
      <c r="J2" s="8">
        <v>8.517839E9</v>
      </c>
      <c r="K2" s="8">
        <v>8.650198E9</v>
      </c>
      <c r="L2" s="8">
        <v>8.400964E9</v>
      </c>
      <c r="M2" s="8">
        <v>8.414524E9</v>
      </c>
      <c r="N2" s="8">
        <v>8.199625E9</v>
      </c>
      <c r="O2" s="8">
        <v>8.684241E9</v>
      </c>
      <c r="P2" s="8">
        <v>8.448449E9</v>
      </c>
      <c r="Q2" s="8">
        <v>7.157642E9</v>
      </c>
      <c r="R2" s="8">
        <v>6.991393E9</v>
      </c>
      <c r="S2" s="8">
        <v>6.981753E9</v>
      </c>
      <c r="T2" s="8">
        <v>6.623185E9</v>
      </c>
      <c r="U2" s="8">
        <v>6.649809E9</v>
      </c>
      <c r="V2" s="8">
        <v>6.417462E9</v>
      </c>
      <c r="W2" s="8">
        <v>6.443309E9</v>
      </c>
      <c r="X2" s="8">
        <v>6.114463E9</v>
      </c>
      <c r="Y2" s="8">
        <v>6.129431E9</v>
      </c>
      <c r="Z2" s="8">
        <v>5.903606E9</v>
      </c>
      <c r="AA2" s="8">
        <v>5.828305E9</v>
      </c>
      <c r="AB2" s="8">
        <v>5.609625E9</v>
      </c>
      <c r="AC2" s="8">
        <v>6.009246E9</v>
      </c>
      <c r="AD2" s="8">
        <v>5.320029E9</v>
      </c>
      <c r="AE2" s="8">
        <v>5.391891E9</v>
      </c>
      <c r="AF2" s="8">
        <v>5.265432E9</v>
      </c>
      <c r="AG2" s="8">
        <v>5.286938E9</v>
      </c>
      <c r="AH2" s="8">
        <v>5.067048E9</v>
      </c>
      <c r="AI2" s="8">
        <v>5.095904E9</v>
      </c>
      <c r="AJ2" s="8">
        <v>4.918672E9</v>
      </c>
      <c r="AK2" s="8">
        <v>4.939059E9</v>
      </c>
      <c r="AL2" s="8">
        <v>4.724409E9</v>
      </c>
      <c r="AM2" s="8">
        <v>4.724039E9</v>
      </c>
      <c r="AN2" s="8">
        <v>4.522081E9</v>
      </c>
      <c r="AO2" s="8">
        <v>4.493945E9</v>
      </c>
      <c r="AP2" s="8">
        <v>4.381838E9</v>
      </c>
      <c r="AQ2" s="8">
        <v>4.394651E9</v>
      </c>
      <c r="AR2" s="8">
        <v>4.233733E9</v>
      </c>
      <c r="AS2" s="8">
        <v>4.207621E9</v>
      </c>
      <c r="AT2" s="8">
        <v>3.964647E9</v>
      </c>
      <c r="AU2" s="8">
        <v>3.948655E9</v>
      </c>
      <c r="AV2" s="8">
        <v>3.901205E9</v>
      </c>
      <c r="AW2" s="8">
        <v>4.185073E9</v>
      </c>
      <c r="AX2" s="8">
        <v>3.595224E9</v>
      </c>
      <c r="AY2" s="8">
        <v>3.575194E9</v>
      </c>
      <c r="AZ2" s="8">
        <v>3.451697E9</v>
      </c>
      <c r="BA2" s="8">
        <v>3.486104E9</v>
      </c>
      <c r="BB2" s="8">
        <v>3.223427E9</v>
      </c>
      <c r="BC2" s="8">
        <v>3.214155E9</v>
      </c>
      <c r="BD2" s="8">
        <v>3.111314E9</v>
      </c>
      <c r="BE2" s="8">
        <v>3.185785E9</v>
      </c>
      <c r="BF2" s="8">
        <v>2.928751E9</v>
      </c>
      <c r="BG2" s="8">
        <v>2.901907E9</v>
      </c>
      <c r="BH2" s="8">
        <v>2.779937E9</v>
      </c>
      <c r="BI2" s="8">
        <v>2.845848E9</v>
      </c>
      <c r="BJ2" s="8">
        <v>2.598938E9</v>
      </c>
      <c r="BK2" s="8">
        <v>2.609384E9</v>
      </c>
      <c r="BL2" s="8">
        <v>2.403498E9</v>
      </c>
      <c r="BM2" s="8">
        <v>2.559573E9</v>
      </c>
      <c r="BN2" s="8">
        <v>2.312842E9</v>
      </c>
      <c r="BO2" s="8">
        <v>2.347564E9</v>
      </c>
      <c r="BP2" s="8">
        <v>2.275267E9</v>
      </c>
      <c r="BQ2" s="8">
        <v>2.553986E9</v>
      </c>
      <c r="BR2" s="8">
        <v>2.213396E9</v>
      </c>
      <c r="BS2" s="8">
        <v>2.251053E9</v>
      </c>
      <c r="BT2" s="8">
        <v>2.151387E9</v>
      </c>
      <c r="BU2" s="8">
        <v>2.480504E9</v>
      </c>
      <c r="BV2" s="8">
        <v>2.057888E9</v>
      </c>
      <c r="BW2" s="8">
        <v>2.066016E9</v>
      </c>
      <c r="BX2" s="8">
        <v>1.977829E9</v>
      </c>
      <c r="BY2" s="8">
        <v>2.197538E9</v>
      </c>
      <c r="BZ2" s="8">
        <v>1.879187E9</v>
      </c>
      <c r="CA2" s="8">
        <v>1.836243E9</v>
      </c>
      <c r="CB2" s="8">
        <v>1.747959E9</v>
      </c>
      <c r="CC2" s="8">
        <v>1.966488E9</v>
      </c>
      <c r="CD2" s="8">
        <v>1.685346E9</v>
      </c>
      <c r="CE2" s="8">
        <v>1.651094E9</v>
      </c>
      <c r="CF2" s="8">
        <v>1.569064E9</v>
      </c>
      <c r="CG2" s="8">
        <v>1.759563E9</v>
      </c>
      <c r="CH2" s="8">
        <v>1.497702E9</v>
      </c>
      <c r="CI2" s="8">
        <v>1.453727E9</v>
      </c>
      <c r="CJ2" s="8">
        <v>1.389412E9</v>
      </c>
      <c r="CK2" s="8">
        <v>1.586012E9</v>
      </c>
      <c r="CL2" s="8">
        <v>1.309125E9</v>
      </c>
      <c r="CM2" s="8">
        <v>1.225254E9</v>
      </c>
      <c r="CN2" s="8">
        <v>1.202504E9</v>
      </c>
      <c r="CO2" s="8">
        <v>1.441714E9</v>
      </c>
      <c r="CP2" s="8">
        <v>1.09436E9</v>
      </c>
      <c r="CQ2" s="8">
        <v>1.017418E9</v>
      </c>
      <c r="CR2" s="8">
        <v>9.97079E8</v>
      </c>
      <c r="CS2" s="8">
        <v>1.177764E9</v>
      </c>
      <c r="CT2" s="8">
        <v>9.504E8</v>
      </c>
      <c r="CU2" s="8">
        <v>9.152E8</v>
      </c>
      <c r="CV2" s="8">
        <v>8.446E8</v>
      </c>
      <c r="CW2" s="8">
        <v>9.92989E8</v>
      </c>
      <c r="CX2" s="8">
        <v>7.814E8</v>
      </c>
      <c r="CY2" s="8">
        <v>7.414E8</v>
      </c>
      <c r="CZ2" s="8">
        <v>7.053E8</v>
      </c>
      <c r="DA2" s="8">
        <v>8.61125E8</v>
      </c>
      <c r="DB2" s="8">
        <v>6.494E8</v>
      </c>
      <c r="DC2" s="8">
        <v>5.968E8</v>
      </c>
      <c r="DD2" s="8">
        <v>5.2E8</v>
      </c>
      <c r="DE2" s="8">
        <v>6.75198E8</v>
      </c>
      <c r="DF2" s="8">
        <v>5.09E8</v>
      </c>
      <c r="DG2" s="8">
        <v>4.944E8</v>
      </c>
      <c r="DH2" s="8">
        <v>4.559E8</v>
      </c>
      <c r="DI2" s="8">
        <v>5.75388E8</v>
      </c>
      <c r="DJ2" s="8">
        <v>4.372E8</v>
      </c>
      <c r="DK2" s="8">
        <v>4.082E8</v>
      </c>
      <c r="DL2" s="8">
        <v>3.434E8</v>
      </c>
      <c r="DM2" s="8">
        <v>4.84809E8</v>
      </c>
      <c r="DN2" s="8">
        <v>3.594E8</v>
      </c>
      <c r="DO2" s="8">
        <v>3.173E8</v>
      </c>
      <c r="DP2" s="8">
        <v>2.871E8</v>
      </c>
      <c r="DQ2" s="8">
        <v>3.831E8</v>
      </c>
      <c r="DR2" s="8">
        <v>2.726E8</v>
      </c>
      <c r="DS2" s="8">
        <v>2.556E8</v>
      </c>
      <c r="DT2" s="8">
        <v>2.218E8</v>
      </c>
      <c r="DU2" s="8">
        <v>2.917E8</v>
      </c>
      <c r="DV2" s="8">
        <v>2.235E8</v>
      </c>
      <c r="DW2" s="8">
        <v>2.169E8</v>
      </c>
      <c r="DX2" s="8">
        <v>1.886E8</v>
      </c>
      <c r="DY2" s="8">
        <v>2.43E8</v>
      </c>
      <c r="DZ2" s="8">
        <v>1.897E8</v>
      </c>
      <c r="EA2" s="8">
        <v>1.733E8</v>
      </c>
      <c r="EB2" s="8">
        <v>1.483E8</v>
      </c>
      <c r="EC2" s="8">
        <v>2.019E8</v>
      </c>
      <c r="ED2" s="8">
        <v>1.646E8</v>
      </c>
      <c r="EE2" s="8">
        <v>1.53E8</v>
      </c>
      <c r="EF2" s="8">
        <v>1.338E8</v>
      </c>
      <c r="EG2" s="8">
        <v>1.92E8</v>
      </c>
      <c r="EH2" s="8">
        <v>1.456E8</v>
      </c>
      <c r="EI2" s="8">
        <v>1.476E8</v>
      </c>
      <c r="EJ2" s="8">
        <v>1.299E8</v>
      </c>
      <c r="EK2" s="8">
        <v>1.901E8</v>
      </c>
      <c r="EL2" s="8">
        <v>1.531E8</v>
      </c>
      <c r="EM2" s="8">
        <v>1.456E8</v>
      </c>
      <c r="EN2" s="8">
        <v>1.242E8</v>
      </c>
      <c r="EO2" s="8">
        <v>1.895E8</v>
      </c>
      <c r="EP2" s="8">
        <v>1.369E8</v>
      </c>
      <c r="EQ2" s="8">
        <v>1.46E8</v>
      </c>
      <c r="ER2" s="8">
        <v>1.16E8</v>
      </c>
      <c r="ES2" s="8">
        <v>1.862E8</v>
      </c>
      <c r="ET2" s="8">
        <v>1.34E8</v>
      </c>
      <c r="EU2" s="8">
        <v>1.359E8</v>
      </c>
      <c r="EV2" s="8">
        <v>1.087E8</v>
      </c>
      <c r="EW2" s="8">
        <v>1.82E8</v>
      </c>
      <c r="EX2" s="8">
        <v>1.387E8</v>
      </c>
      <c r="EY2" s="5"/>
      <c r="EZ2" s="5"/>
    </row>
    <row r="3">
      <c r="A3" s="5" t="s">
        <v>87</v>
      </c>
      <c r="B3" s="8">
        <v>3.8806811E10</v>
      </c>
      <c r="C3" s="8">
        <v>9.796181E9</v>
      </c>
      <c r="D3" s="8">
        <v>9.342832E9</v>
      </c>
      <c r="E3" s="8">
        <v>1.0202907E10</v>
      </c>
      <c r="F3" s="8">
        <v>9.464891E9</v>
      </c>
      <c r="G3" s="8">
        <v>9.425713E9</v>
      </c>
      <c r="H3" s="8">
        <v>8.751352E9</v>
      </c>
      <c r="I3" s="8">
        <v>8.651448E9</v>
      </c>
      <c r="J3" s="8">
        <v>8.517839E9</v>
      </c>
      <c r="K3" s="8">
        <v>8.650198E9</v>
      </c>
      <c r="L3" s="8">
        <v>8.400964E9</v>
      </c>
      <c r="M3" s="8">
        <v>8.414524E9</v>
      </c>
      <c r="N3" s="8">
        <v>8.199625E9</v>
      </c>
      <c r="O3" s="8">
        <v>8.684241E9</v>
      </c>
      <c r="P3" s="8">
        <v>8.448449E9</v>
      </c>
      <c r="Q3" s="8">
        <v>7.157642E9</v>
      </c>
      <c r="R3" s="8">
        <v>6.991393E9</v>
      </c>
      <c r="S3" s="8">
        <v>6.981753E9</v>
      </c>
      <c r="T3" s="8">
        <v>6.623185E9</v>
      </c>
      <c r="U3" s="8">
        <v>6.649809E9</v>
      </c>
      <c r="V3" s="8">
        <v>6.417462E9</v>
      </c>
      <c r="W3" s="8">
        <v>6.443309E9</v>
      </c>
      <c r="X3" s="8">
        <v>6.114463E9</v>
      </c>
      <c r="Y3" s="8">
        <v>6.129431E9</v>
      </c>
      <c r="Z3" s="8">
        <v>5.903606E9</v>
      </c>
      <c r="AA3" s="8">
        <v>5.828305E9</v>
      </c>
      <c r="AB3" s="8">
        <v>5.609625E9</v>
      </c>
      <c r="AC3" s="8">
        <v>6.009246E9</v>
      </c>
      <c r="AD3" s="8">
        <v>5.320029E9</v>
      </c>
      <c r="AE3" s="8">
        <v>5.391891E9</v>
      </c>
      <c r="AF3" s="8">
        <v>5.265432E9</v>
      </c>
      <c r="AG3" s="8">
        <v>5.286938E9</v>
      </c>
      <c r="AH3" s="8">
        <v>5.067048E9</v>
      </c>
      <c r="AI3" s="8">
        <v>5.095904E9</v>
      </c>
      <c r="AJ3" s="8">
        <v>4.918672E9</v>
      </c>
      <c r="AK3" s="8">
        <v>4.939059E9</v>
      </c>
      <c r="AL3" s="8">
        <v>4.724409E9</v>
      </c>
      <c r="AM3" s="8">
        <v>4.724039E9</v>
      </c>
      <c r="AN3" s="8">
        <v>4.522081E9</v>
      </c>
      <c r="AO3" s="8">
        <v>4.493945E9</v>
      </c>
      <c r="AP3" s="8">
        <v>4.381838E9</v>
      </c>
      <c r="AQ3" s="8">
        <v>4.394651E9</v>
      </c>
      <c r="AR3" s="8">
        <v>4.233733E9</v>
      </c>
      <c r="AS3" s="8">
        <v>4.207621E9</v>
      </c>
      <c r="AT3" s="8">
        <v>3.964647E9</v>
      </c>
      <c r="AU3" s="8">
        <v>3.948655E9</v>
      </c>
      <c r="AV3" s="8">
        <v>3.901205E9</v>
      </c>
      <c r="AW3" s="8">
        <v>4.185073E9</v>
      </c>
      <c r="AX3" s="8">
        <v>3.595224E9</v>
      </c>
      <c r="AY3" s="8">
        <v>3.575194E9</v>
      </c>
      <c r="AZ3" s="8">
        <v>3.451697E9</v>
      </c>
      <c r="BA3" s="8">
        <v>3.486104E9</v>
      </c>
      <c r="BB3" s="8">
        <v>3.223427E9</v>
      </c>
      <c r="BC3" s="8">
        <v>3.214155E9</v>
      </c>
      <c r="BD3" s="8">
        <v>3.111314E9</v>
      </c>
      <c r="BE3" s="8">
        <v>3.185785E9</v>
      </c>
      <c r="BF3" s="8">
        <v>2.928751E9</v>
      </c>
      <c r="BG3" s="8">
        <v>2.901907E9</v>
      </c>
      <c r="BH3" s="8">
        <v>2.779937E9</v>
      </c>
      <c r="BI3" s="8">
        <v>2.845848E9</v>
      </c>
      <c r="BJ3" s="8">
        <v>2.598938E9</v>
      </c>
      <c r="BK3" s="8">
        <v>2.609384E9</v>
      </c>
      <c r="BL3" s="8">
        <v>2.403498E9</v>
      </c>
      <c r="BM3" s="8">
        <v>2.559573E9</v>
      </c>
      <c r="BN3" s="8">
        <v>2.312842E9</v>
      </c>
      <c r="BO3" s="8">
        <v>2.347564E9</v>
      </c>
      <c r="BP3" s="8">
        <v>2.275267E9</v>
      </c>
      <c r="BQ3" s="8">
        <v>2.553986E9</v>
      </c>
      <c r="BR3" s="8">
        <v>2.213396E9</v>
      </c>
      <c r="BS3" s="8">
        <v>2.251053E9</v>
      </c>
      <c r="BT3" s="8">
        <v>2.151387E9</v>
      </c>
      <c r="BU3" s="8">
        <v>2.480504E9</v>
      </c>
      <c r="BV3" s="8">
        <v>2.057888E9</v>
      </c>
      <c r="BW3" s="8">
        <v>2.066016E9</v>
      </c>
      <c r="BX3" s="8">
        <v>1.977829E9</v>
      </c>
      <c r="BY3" s="8">
        <v>2.197538E9</v>
      </c>
      <c r="BZ3" s="8">
        <v>1.879187E9</v>
      </c>
      <c r="CA3" s="8">
        <v>1.836243E9</v>
      </c>
      <c r="CB3" s="8">
        <v>1.747959E9</v>
      </c>
      <c r="CC3" s="8">
        <v>1.966488E9</v>
      </c>
      <c r="CD3" s="8">
        <v>1.685346E9</v>
      </c>
      <c r="CE3" s="8">
        <v>1.651094E9</v>
      </c>
      <c r="CF3" s="8">
        <v>1.569064E9</v>
      </c>
      <c r="CG3" s="8">
        <v>1.759563E9</v>
      </c>
      <c r="CH3" s="8">
        <v>1.497702E9</v>
      </c>
      <c r="CI3" s="8">
        <v>1.453727E9</v>
      </c>
      <c r="CJ3" s="8">
        <v>1.389412E9</v>
      </c>
      <c r="CK3" s="8">
        <v>1.586012E9</v>
      </c>
      <c r="CL3" s="8">
        <v>1.309125E9</v>
      </c>
      <c r="CM3" s="8">
        <v>1.225254E9</v>
      </c>
      <c r="CN3" s="8">
        <v>1.202504E9</v>
      </c>
      <c r="CO3" s="8">
        <v>1.441714E9</v>
      </c>
      <c r="CP3" s="8">
        <v>1.09436E9</v>
      </c>
      <c r="CQ3" s="8">
        <v>1.017418E9</v>
      </c>
      <c r="CR3" s="8">
        <v>9.97079E8</v>
      </c>
      <c r="CS3" s="8">
        <v>1.177764E9</v>
      </c>
      <c r="CT3" s="8">
        <v>9.504E8</v>
      </c>
      <c r="CU3" s="8">
        <v>9.152E8</v>
      </c>
      <c r="CV3" s="8">
        <v>8.446E8</v>
      </c>
      <c r="CW3" s="8">
        <v>9.92989E8</v>
      </c>
      <c r="CX3" s="8">
        <v>7.814E8</v>
      </c>
      <c r="CY3" s="8">
        <v>7.414E8</v>
      </c>
      <c r="CZ3" s="8">
        <v>7.053E8</v>
      </c>
      <c r="DA3" s="8">
        <v>8.61125E8</v>
      </c>
      <c r="DB3" s="8">
        <v>6.494E8</v>
      </c>
      <c r="DC3" s="8">
        <v>5.968E8</v>
      </c>
      <c r="DD3" s="8">
        <v>5.2E8</v>
      </c>
      <c r="DE3" s="8">
        <v>6.75198E8</v>
      </c>
      <c r="DF3" s="8">
        <v>5.09E8</v>
      </c>
      <c r="DG3" s="8">
        <v>4.944E8</v>
      </c>
      <c r="DH3" s="8">
        <v>4.559E8</v>
      </c>
      <c r="DI3" s="8">
        <v>5.75388E8</v>
      </c>
      <c r="DJ3" s="8">
        <v>4.372E8</v>
      </c>
      <c r="DK3" s="8">
        <v>4.082E8</v>
      </c>
      <c r="DL3" s="8">
        <v>3.434E8</v>
      </c>
      <c r="DM3" s="8">
        <v>4.84809E8</v>
      </c>
      <c r="DN3" s="8">
        <v>3.594E8</v>
      </c>
      <c r="DO3" s="8">
        <v>3.173E8</v>
      </c>
      <c r="DP3" s="8">
        <v>2.871E8</v>
      </c>
      <c r="DQ3" s="8">
        <v>3.831E8</v>
      </c>
      <c r="DR3" s="8">
        <v>2.726E8</v>
      </c>
      <c r="DS3" s="8">
        <v>2.556E8</v>
      </c>
      <c r="DT3" s="8">
        <v>2.218E8</v>
      </c>
      <c r="DU3" s="8">
        <v>2.917E8</v>
      </c>
      <c r="DV3" s="8">
        <v>2.235E8</v>
      </c>
      <c r="DW3" s="8">
        <v>2.169E8</v>
      </c>
      <c r="DX3" s="8">
        <v>1.886E8</v>
      </c>
      <c r="DY3" s="8">
        <v>2.43E8</v>
      </c>
      <c r="DZ3" s="8">
        <v>1.897E8</v>
      </c>
      <c r="EA3" s="8">
        <v>1.733E8</v>
      </c>
      <c r="EB3" s="8">
        <v>1.483E8</v>
      </c>
      <c r="EC3" s="8">
        <v>2.019E8</v>
      </c>
      <c r="ED3" s="8">
        <v>1.646E8</v>
      </c>
      <c r="EE3" s="8">
        <v>1.53E8</v>
      </c>
      <c r="EF3" s="8">
        <v>1.338E8</v>
      </c>
      <c r="EG3" s="8">
        <v>1.92E8</v>
      </c>
      <c r="EH3" s="8">
        <v>1.456E8</v>
      </c>
      <c r="EI3" s="8">
        <v>1.476E8</v>
      </c>
      <c r="EJ3" s="8">
        <v>1.299E8</v>
      </c>
      <c r="EK3" s="8">
        <v>1.901E8</v>
      </c>
      <c r="EL3" s="8">
        <v>1.531E8</v>
      </c>
      <c r="EM3" s="8">
        <v>1.456E8</v>
      </c>
      <c r="EN3" s="8">
        <v>1.242E8</v>
      </c>
      <c r="EO3" s="8">
        <v>1.895E8</v>
      </c>
      <c r="EP3" s="8">
        <v>1.369E8</v>
      </c>
      <c r="EQ3" s="8">
        <v>1.46E8</v>
      </c>
      <c r="ER3" s="8">
        <v>1.16E8</v>
      </c>
      <c r="ES3" s="8">
        <v>1.862E8</v>
      </c>
      <c r="ET3" s="8">
        <v>1.34E8</v>
      </c>
      <c r="EU3" s="8">
        <v>1.359E8</v>
      </c>
      <c r="EV3" s="8">
        <v>1.087E8</v>
      </c>
      <c r="EW3" s="8">
        <v>1.82E8</v>
      </c>
      <c r="EX3" s="8">
        <v>1.387E8</v>
      </c>
      <c r="EY3" s="5"/>
      <c r="EZ3" s="5"/>
    </row>
    <row r="4">
      <c r="A4" s="5" t="s">
        <v>88</v>
      </c>
      <c r="B4" s="8">
        <v>2.6773139E10</v>
      </c>
      <c r="C4" s="8">
        <v>6.751495E9</v>
      </c>
      <c r="D4" s="8">
        <v>6.387358E9</v>
      </c>
      <c r="E4" s="8">
        <v>7.05459E9</v>
      </c>
      <c r="F4" s="8">
        <v>6.579696E9</v>
      </c>
      <c r="G4" s="8">
        <v>6.37749E9</v>
      </c>
      <c r="H4" s="8">
        <v>6.012989E9</v>
      </c>
      <c r="I4" s="8">
        <v>5.951208E9</v>
      </c>
      <c r="J4" s="8">
        <v>5.8984E9</v>
      </c>
      <c r="K4" s="8">
        <v>5.912539E9</v>
      </c>
      <c r="L4" s="8">
        <v>5.645296E9</v>
      </c>
      <c r="M4" s="8">
        <v>5.677829E9</v>
      </c>
      <c r="N4" s="8">
        <v>5.631385E9</v>
      </c>
      <c r="O4" s="8">
        <v>5.866006E9</v>
      </c>
      <c r="P4" s="8">
        <v>5.852757E9</v>
      </c>
      <c r="Q4" s="8">
        <v>4.884879E9</v>
      </c>
      <c r="R4" s="8">
        <v>4.926307E9</v>
      </c>
      <c r="S4" s="8">
        <v>4.832817E9</v>
      </c>
      <c r="T4" s="8">
        <v>4.620909E9</v>
      </c>
      <c r="U4" s="8">
        <v>4.57812E9</v>
      </c>
      <c r="V4" s="8">
        <v>4.522403E9</v>
      </c>
      <c r="W4" s="8">
        <v>4.468436E9</v>
      </c>
      <c r="X4" s="8">
        <v>4.252214E9</v>
      </c>
      <c r="Y4" s="8">
        <v>4.164033E9</v>
      </c>
      <c r="Z4" s="8">
        <v>4.13715E9</v>
      </c>
      <c r="AA4" s="8">
        <v>4.037783E9</v>
      </c>
      <c r="AB4" s="8">
        <v>3.910642E9</v>
      </c>
      <c r="AC4" s="8">
        <v>4.108499E9</v>
      </c>
      <c r="AD4" s="8">
        <v>3.732519E9</v>
      </c>
      <c r="AE4" s="8">
        <v>3.710124E9</v>
      </c>
      <c r="AF4" s="8">
        <v>3.652818E9</v>
      </c>
      <c r="AG4" s="8">
        <v>3.604669E9</v>
      </c>
      <c r="AH4" s="8">
        <v>3.530086E9</v>
      </c>
      <c r="AI4" s="8">
        <v>3.507749E9</v>
      </c>
      <c r="AJ4" s="8">
        <v>3.419967E9</v>
      </c>
      <c r="AK4" s="8">
        <v>3.37362E9</v>
      </c>
      <c r="AL4" s="8">
        <v>3.300661E9</v>
      </c>
      <c r="AM4" s="8">
        <v>3.268465E9</v>
      </c>
      <c r="AN4" s="8">
        <v>3.164335E9</v>
      </c>
      <c r="AO4" s="8">
        <v>3.059134E9</v>
      </c>
      <c r="AP4" s="8">
        <v>3.053345E9</v>
      </c>
      <c r="AQ4" s="8">
        <v>3.017361E9</v>
      </c>
      <c r="AR4" s="8">
        <v>2.938585E9</v>
      </c>
      <c r="AS4" s="8">
        <v>2.839822E9</v>
      </c>
      <c r="AT4" s="8">
        <v>2.738524E9</v>
      </c>
      <c r="AU4" s="8">
        <v>2.685432E9</v>
      </c>
      <c r="AV4" s="8">
        <v>2.672949E9</v>
      </c>
      <c r="AW4" s="8">
        <v>2.838704E9</v>
      </c>
      <c r="AX4" s="8">
        <v>2.479422E9</v>
      </c>
      <c r="AY4" s="8">
        <v>2.426852E9</v>
      </c>
      <c r="AZ4" s="8">
        <v>2.3643E9</v>
      </c>
      <c r="BA4" s="8">
        <v>2.355951E9</v>
      </c>
      <c r="BB4" s="8">
        <v>2.212759E9</v>
      </c>
      <c r="BC4" s="8">
        <v>2.178176E9</v>
      </c>
      <c r="BD4" s="8">
        <v>2.111558E9</v>
      </c>
      <c r="BE4" s="8">
        <v>2.160396E9</v>
      </c>
      <c r="BF4" s="8">
        <v>2.025669E9</v>
      </c>
      <c r="BG4" s="8">
        <v>1.995865E9</v>
      </c>
      <c r="BH4" s="8">
        <v>1.924579E9</v>
      </c>
      <c r="BI4" s="8">
        <v>2.00815E9</v>
      </c>
      <c r="BJ4" s="8">
        <v>1.826651E9</v>
      </c>
      <c r="BK4" s="8">
        <v>1.851349E9</v>
      </c>
      <c r="BL4" s="8">
        <v>1.710421E9</v>
      </c>
      <c r="BM4" s="8">
        <v>1.819202E9</v>
      </c>
      <c r="BN4" s="8">
        <v>1.666042E9</v>
      </c>
      <c r="BO4" s="8">
        <v>1.724326E9</v>
      </c>
      <c r="BP4" s="8">
        <v>1.642207E9</v>
      </c>
      <c r="BQ4" s="8">
        <v>1.908036E9</v>
      </c>
      <c r="BR4" s="8">
        <v>1.686949E9</v>
      </c>
      <c r="BS4" s="8">
        <v>1.639519E9</v>
      </c>
      <c r="BT4" s="8">
        <v>1.567113E9</v>
      </c>
      <c r="BU4" s="8">
        <v>1.749575E9</v>
      </c>
      <c r="BV4" s="8">
        <v>1.478872E9</v>
      </c>
      <c r="BW4" s="8">
        <v>1.474486E9</v>
      </c>
      <c r="BX4" s="8">
        <v>1.41448E9</v>
      </c>
      <c r="BY4" s="8">
        <v>1.537561E9</v>
      </c>
      <c r="BZ4" s="8">
        <v>1.325202E9</v>
      </c>
      <c r="CA4" s="8">
        <v>1.299263E9</v>
      </c>
      <c r="CB4" s="8">
        <v>1.235709E9</v>
      </c>
      <c r="CC4" s="8">
        <v>1.389992E9</v>
      </c>
      <c r="CD4" s="8">
        <v>1.168449E9</v>
      </c>
      <c r="CE4" s="8">
        <v>1.178264E9</v>
      </c>
      <c r="CF4" s="8">
        <v>1.117158E9</v>
      </c>
      <c r="CG4" s="8">
        <v>1.231599E9</v>
      </c>
      <c r="CH4" s="8">
        <v>1.069119E9</v>
      </c>
      <c r="CI4" s="8">
        <v>1.0663E9</v>
      </c>
      <c r="CJ4" s="8">
        <v>1.00912E9</v>
      </c>
      <c r="CK4" s="8">
        <v>1.110489E9</v>
      </c>
      <c r="CL4" s="8">
        <v>9.27944E8</v>
      </c>
      <c r="CM4" s="8">
        <v>8.93971E8</v>
      </c>
      <c r="CN4" s="8">
        <v>8.81079E8</v>
      </c>
      <c r="CO4" s="8">
        <v>1.066857E9</v>
      </c>
      <c r="CP4" s="8">
        <v>7.72996E8</v>
      </c>
      <c r="CQ4" s="8">
        <v>7.35445E8</v>
      </c>
      <c r="CR4" s="8">
        <v>7.2437E8</v>
      </c>
      <c r="CS4" s="8">
        <v>8.80073E8</v>
      </c>
      <c r="CT4" s="8">
        <v>6.561E8</v>
      </c>
      <c r="CU4" s="8">
        <v>6.501E8</v>
      </c>
      <c r="CV4" s="8">
        <v>6.038E8</v>
      </c>
      <c r="CW4" s="8">
        <v>7.46412E8</v>
      </c>
      <c r="CX4" s="8">
        <v>5.432E8</v>
      </c>
      <c r="CY4" s="8">
        <v>5.23E8</v>
      </c>
      <c r="CZ4" s="8">
        <v>5.026E8</v>
      </c>
      <c r="DA4" s="8">
        <v>6.3259E8</v>
      </c>
      <c r="DB4" s="8">
        <v>4.556E8</v>
      </c>
      <c r="DC4" s="8">
        <v>4.275E8</v>
      </c>
      <c r="DD4" s="8">
        <v>3.696E8</v>
      </c>
      <c r="DE4" s="8">
        <v>4.99103E8</v>
      </c>
      <c r="DF4" s="8">
        <v>3.522E8</v>
      </c>
      <c r="DG4" s="8">
        <v>3.531E8</v>
      </c>
      <c r="DH4" s="8">
        <v>3.252E8</v>
      </c>
      <c r="DI4" s="8">
        <v>4.28269E8</v>
      </c>
      <c r="DJ4" s="8">
        <v>3.024E8</v>
      </c>
      <c r="DK4" s="8">
        <v>2.883E8</v>
      </c>
      <c r="DL4" s="8">
        <v>2.417E8</v>
      </c>
      <c r="DM4" s="8">
        <v>3.4173E8</v>
      </c>
      <c r="DN4" s="8">
        <v>2.517E8</v>
      </c>
      <c r="DO4" s="8">
        <v>2.257E8</v>
      </c>
      <c r="DP4" s="8">
        <v>2.034E8</v>
      </c>
      <c r="DQ4" s="8">
        <v>2.771E8</v>
      </c>
      <c r="DR4" s="8">
        <v>1.873E8</v>
      </c>
      <c r="DS4" s="8">
        <v>1.799E8</v>
      </c>
      <c r="DT4" s="8">
        <v>1.568E8</v>
      </c>
      <c r="DU4" s="8">
        <v>2.003E8</v>
      </c>
      <c r="DV4" s="8">
        <v>1.57E8</v>
      </c>
      <c r="DW4" s="8">
        <v>1.539E8</v>
      </c>
      <c r="DX4" s="8">
        <v>1.342E8</v>
      </c>
      <c r="DY4" s="8">
        <v>1.718E8</v>
      </c>
      <c r="DZ4" s="8">
        <v>1.332E8</v>
      </c>
      <c r="EA4" s="8">
        <v>1.222E8</v>
      </c>
      <c r="EB4" s="8">
        <v>1.05E8</v>
      </c>
      <c r="EC4" s="8">
        <v>1.414E8</v>
      </c>
      <c r="ED4" s="8">
        <v>1.152E8</v>
      </c>
      <c r="EE4" s="8">
        <v>1.078E8</v>
      </c>
      <c r="EF4" s="8">
        <v>9.48E7</v>
      </c>
      <c r="EG4" s="8">
        <v>1.298E8</v>
      </c>
      <c r="EH4" s="8">
        <v>1.018E8</v>
      </c>
      <c r="EI4" s="8">
        <v>1.038E8</v>
      </c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</row>
    <row r="5">
      <c r="A5" s="5" t="s">
        <v>89</v>
      </c>
      <c r="B5" s="8">
        <v>1.2033672E10</v>
      </c>
      <c r="C5" s="8">
        <v>3.044686E9</v>
      </c>
      <c r="D5" s="8">
        <v>2.955474E9</v>
      </c>
      <c r="E5" s="8">
        <v>3.148317E9</v>
      </c>
      <c r="F5" s="8">
        <v>2.885195E9</v>
      </c>
      <c r="G5" s="8">
        <v>3.048223E9</v>
      </c>
      <c r="H5" s="8">
        <v>2.738363E9</v>
      </c>
      <c r="I5" s="8">
        <v>2.70024E9</v>
      </c>
      <c r="J5" s="8">
        <v>2.619439E9</v>
      </c>
      <c r="K5" s="8">
        <v>2.737659E9</v>
      </c>
      <c r="L5" s="8">
        <v>2.755668E9</v>
      </c>
      <c r="M5" s="8">
        <v>2.736695E9</v>
      </c>
      <c r="N5" s="8">
        <v>2.56824E9</v>
      </c>
      <c r="O5" s="8">
        <v>2.818235E9</v>
      </c>
      <c r="P5" s="8">
        <v>2.595692E9</v>
      </c>
      <c r="Q5" s="8">
        <v>2.272763E9</v>
      </c>
      <c r="R5" s="8">
        <v>2.065086E9</v>
      </c>
      <c r="S5" s="8">
        <v>2.148936E9</v>
      </c>
      <c r="T5" s="8">
        <v>2.002276E9</v>
      </c>
      <c r="U5" s="8">
        <v>2.071689E9</v>
      </c>
      <c r="V5" s="8">
        <v>1.895059E9</v>
      </c>
      <c r="W5" s="8">
        <v>1.974873E9</v>
      </c>
      <c r="X5" s="8">
        <v>1.862249E9</v>
      </c>
      <c r="Y5" s="8">
        <v>1.965398E9</v>
      </c>
      <c r="Z5" s="8">
        <v>1.766456E9</v>
      </c>
      <c r="AA5" s="8">
        <v>1.790522E9</v>
      </c>
      <c r="AB5" s="8">
        <v>1.698983E9</v>
      </c>
      <c r="AC5" s="8">
        <v>1.900747E9</v>
      </c>
      <c r="AD5" s="8">
        <v>1.58751E9</v>
      </c>
      <c r="AE5" s="8">
        <v>1.681767E9</v>
      </c>
      <c r="AF5" s="8">
        <v>1.612614E9</v>
      </c>
      <c r="AG5" s="8">
        <v>1.682269E9</v>
      </c>
      <c r="AH5" s="8">
        <v>1.536962E9</v>
      </c>
      <c r="AI5" s="8">
        <v>1.588155E9</v>
      </c>
      <c r="AJ5" s="8">
        <v>1.498705E9</v>
      </c>
      <c r="AK5" s="8">
        <v>1.565439E9</v>
      </c>
      <c r="AL5" s="8">
        <v>1.423748E9</v>
      </c>
      <c r="AM5" s="8">
        <v>1.455574E9</v>
      </c>
      <c r="AN5" s="8">
        <v>1.357746E9</v>
      </c>
      <c r="AO5" s="8">
        <v>1.434811E9</v>
      </c>
      <c r="AP5" s="8">
        <v>1.328493E9</v>
      </c>
      <c r="AQ5" s="8">
        <v>1.37729E9</v>
      </c>
      <c r="AR5" s="8">
        <v>1.295148E9</v>
      </c>
      <c r="AS5" s="8">
        <v>1.367799E9</v>
      </c>
      <c r="AT5" s="8">
        <v>1.226123E9</v>
      </c>
      <c r="AU5" s="8">
        <v>1.263223E9</v>
      </c>
      <c r="AV5" s="8">
        <v>1.228256E9</v>
      </c>
      <c r="AW5" s="8">
        <v>1.346369E9</v>
      </c>
      <c r="AX5" s="8">
        <v>1.115802E9</v>
      </c>
      <c r="AY5" s="8">
        <v>1.148342E9</v>
      </c>
      <c r="AZ5" s="8">
        <v>1.087397E9</v>
      </c>
      <c r="BA5" s="8">
        <v>1.130153E9</v>
      </c>
      <c r="BB5" s="8">
        <v>1.010668E9</v>
      </c>
      <c r="BC5" s="8">
        <v>1.035979E9</v>
      </c>
      <c r="BD5" s="8">
        <v>9.99756E8</v>
      </c>
      <c r="BE5" s="8">
        <v>1.025389E9</v>
      </c>
      <c r="BF5" s="8">
        <v>9.03082E8</v>
      </c>
      <c r="BG5" s="8">
        <v>9.06042E8</v>
      </c>
      <c r="BH5" s="8">
        <v>8.55358E8</v>
      </c>
      <c r="BI5" s="8">
        <v>8.37698E8</v>
      </c>
      <c r="BJ5" s="8">
        <v>7.72287E8</v>
      </c>
      <c r="BK5" s="8">
        <v>7.58035E8</v>
      </c>
      <c r="BL5" s="8">
        <v>6.93077E8</v>
      </c>
      <c r="BM5" s="8">
        <v>7.40371E8</v>
      </c>
      <c r="BN5" s="8">
        <v>6.468E8</v>
      </c>
      <c r="BO5" s="8">
        <v>6.23238E8</v>
      </c>
      <c r="BP5" s="8">
        <v>6.3306E8</v>
      </c>
      <c r="BQ5" s="8">
        <v>6.4595E8</v>
      </c>
      <c r="BR5" s="8">
        <v>5.26447E8</v>
      </c>
      <c r="BS5" s="8">
        <v>6.11534E8</v>
      </c>
      <c r="BT5" s="8">
        <v>5.84274E8</v>
      </c>
      <c r="BU5" s="8">
        <v>7.30929E8</v>
      </c>
      <c r="BV5" s="8">
        <v>5.79016E8</v>
      </c>
      <c r="BW5" s="8">
        <v>5.9153E8</v>
      </c>
      <c r="BX5" s="8">
        <v>5.63349E8</v>
      </c>
      <c r="BY5" s="8">
        <v>6.59977E8</v>
      </c>
      <c r="BZ5" s="8">
        <v>5.53985E8</v>
      </c>
      <c r="CA5" s="8">
        <v>5.3698E8</v>
      </c>
      <c r="CB5" s="8">
        <v>5.1225E8</v>
      </c>
      <c r="CC5" s="8">
        <v>5.76496E8</v>
      </c>
      <c r="CD5" s="8">
        <v>5.16897E8</v>
      </c>
      <c r="CE5" s="8">
        <v>4.7283E8</v>
      </c>
      <c r="CF5" s="8">
        <v>4.51906E8</v>
      </c>
      <c r="CG5" s="8">
        <v>5.27964E8</v>
      </c>
      <c r="CH5" s="8">
        <v>4.28583E8</v>
      </c>
      <c r="CI5" s="8">
        <v>3.87427E8</v>
      </c>
      <c r="CJ5" s="8">
        <v>3.80292E8</v>
      </c>
      <c r="CK5" s="8">
        <v>4.75523E8</v>
      </c>
      <c r="CL5" s="8">
        <v>3.81181E8</v>
      </c>
      <c r="CM5" s="8">
        <v>3.31283E8</v>
      </c>
      <c r="CN5" s="8">
        <v>3.21425E8</v>
      </c>
      <c r="CO5" s="8">
        <v>3.74857E8</v>
      </c>
      <c r="CP5" s="8">
        <v>3.21364E8</v>
      </c>
      <c r="CQ5" s="8">
        <v>2.81973E8</v>
      </c>
      <c r="CR5" s="8">
        <v>2.72709E8</v>
      </c>
      <c r="CS5" s="8">
        <v>2.97691E8</v>
      </c>
      <c r="CT5" s="8">
        <v>2.943E8</v>
      </c>
      <c r="CU5" s="8">
        <v>2.651E8</v>
      </c>
      <c r="CV5" s="8">
        <v>2.408E8</v>
      </c>
      <c r="CW5" s="8">
        <v>2.46577E8</v>
      </c>
      <c r="CX5" s="8">
        <v>2.382E8</v>
      </c>
      <c r="CY5" s="8">
        <v>2.184E8</v>
      </c>
      <c r="CZ5" s="8">
        <v>2.027E8</v>
      </c>
      <c r="DA5" s="8">
        <v>2.28535E8</v>
      </c>
      <c r="DB5" s="8">
        <v>1.938E8</v>
      </c>
      <c r="DC5" s="8">
        <v>1.693E8</v>
      </c>
      <c r="DD5" s="8">
        <v>1.504E8</v>
      </c>
      <c r="DE5" s="8">
        <v>1.76095E8</v>
      </c>
      <c r="DF5" s="8">
        <v>1.568E8</v>
      </c>
      <c r="DG5" s="8">
        <v>1.413E8</v>
      </c>
      <c r="DH5" s="8">
        <v>1.307E8</v>
      </c>
      <c r="DI5" s="8">
        <v>1.47119E8</v>
      </c>
      <c r="DJ5" s="8">
        <v>1.348E8</v>
      </c>
      <c r="DK5" s="8">
        <v>1.199E8</v>
      </c>
      <c r="DL5" s="8">
        <v>1.017E8</v>
      </c>
      <c r="DM5" s="8">
        <v>1.43079E8</v>
      </c>
      <c r="DN5" s="8">
        <v>1.077E8</v>
      </c>
      <c r="DO5" s="8">
        <v>9.16E7</v>
      </c>
      <c r="DP5" s="8">
        <v>8.37E7</v>
      </c>
      <c r="DQ5" s="8">
        <v>1.06E8</v>
      </c>
      <c r="DR5" s="8">
        <v>8.53E7</v>
      </c>
      <c r="DS5" s="8">
        <v>7.57E7</v>
      </c>
      <c r="DT5" s="8">
        <v>6.5E7</v>
      </c>
      <c r="DU5" s="8">
        <v>9.14E7</v>
      </c>
      <c r="DV5" s="8">
        <v>6.65E7</v>
      </c>
      <c r="DW5" s="8">
        <v>6.3E7</v>
      </c>
      <c r="DX5" s="8">
        <v>5.44E7</v>
      </c>
      <c r="DY5" s="8">
        <v>7.12E7</v>
      </c>
      <c r="DZ5" s="8">
        <v>5.65E7</v>
      </c>
      <c r="EA5" s="8">
        <v>5.11E7</v>
      </c>
      <c r="EB5" s="8">
        <v>4.33E7</v>
      </c>
      <c r="EC5" s="8">
        <v>6.05E7</v>
      </c>
      <c r="ED5" s="8">
        <v>4.94E7</v>
      </c>
      <c r="EE5" s="8">
        <v>4.52E7</v>
      </c>
      <c r="EF5" s="8">
        <v>3.9E7</v>
      </c>
      <c r="EG5" s="8">
        <v>6.22E7</v>
      </c>
      <c r="EH5" s="8">
        <v>4.38E7</v>
      </c>
      <c r="EI5" s="8">
        <v>4.38E7</v>
      </c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</row>
    <row r="6">
      <c r="A6" s="5" t="s">
        <v>90</v>
      </c>
      <c r="B6" s="8">
        <v>8.931781E9</v>
      </c>
      <c r="C6" s="8">
        <v>2.352372E9</v>
      </c>
      <c r="D6" s="8">
        <v>2.214616E9</v>
      </c>
      <c r="E6" s="8">
        <v>2.215143E9</v>
      </c>
      <c r="F6" s="8">
        <v>2.14965E9</v>
      </c>
      <c r="G6" s="8">
        <v>2.134797E9</v>
      </c>
      <c r="H6" s="8">
        <v>1.992206E9</v>
      </c>
      <c r="I6" s="8">
        <v>1.903571E9</v>
      </c>
      <c r="J6" s="8">
        <v>1.953851E9</v>
      </c>
      <c r="K6" s="8">
        <v>1.888091E9</v>
      </c>
      <c r="L6" s="8">
        <v>1.846818E9</v>
      </c>
      <c r="M6" s="8">
        <v>1.864471E9</v>
      </c>
      <c r="N6" s="8">
        <v>1.79511E9</v>
      </c>
      <c r="O6" s="8">
        <v>1.775608E9</v>
      </c>
      <c r="P6" s="8">
        <v>1.728908E9</v>
      </c>
      <c r="Q6" s="8">
        <v>1.551888E9</v>
      </c>
      <c r="R6" s="8">
        <v>1.573669E9</v>
      </c>
      <c r="S6" s="8">
        <v>1.571161E9</v>
      </c>
      <c r="T6" s="8">
        <v>1.490039E9</v>
      </c>
      <c r="U6" s="8">
        <v>1.433186E9</v>
      </c>
      <c r="V6" s="8">
        <v>1.452916E9</v>
      </c>
      <c r="W6" s="8">
        <v>1.429397E9</v>
      </c>
      <c r="X6" s="8">
        <v>1.372065E9</v>
      </c>
      <c r="Y6" s="8">
        <v>1.341952E9</v>
      </c>
      <c r="Z6" s="8">
        <v>1.349025E9</v>
      </c>
      <c r="AA6" s="8">
        <v>1.297376E9</v>
      </c>
      <c r="AB6" s="8">
        <v>1.225188E9</v>
      </c>
      <c r="AC6" s="8">
        <v>1.220129E9</v>
      </c>
      <c r="AD6" s="8">
        <v>1.194519E9</v>
      </c>
      <c r="AE6" s="8">
        <v>1.17267E9</v>
      </c>
      <c r="AF6" s="8">
        <v>1.131871E9</v>
      </c>
      <c r="AG6" s="8">
        <v>1.06984E9</v>
      </c>
      <c r="AH6" s="8">
        <v>1.113103E9</v>
      </c>
      <c r="AI6" s="8">
        <v>1.112343E9</v>
      </c>
      <c r="AJ6" s="8">
        <v>1.070511E9</v>
      </c>
      <c r="AK6" s="8">
        <v>9.98723E8</v>
      </c>
      <c r="AL6" s="8">
        <v>1.029605E9</v>
      </c>
      <c r="AM6" s="8">
        <v>1.027048E9</v>
      </c>
      <c r="AN6" s="8">
        <v>9.78038E8</v>
      </c>
      <c r="AO6" s="8">
        <v>8.96689E8</v>
      </c>
      <c r="AP6" s="8">
        <v>9.38252E8</v>
      </c>
      <c r="AQ6" s="8">
        <v>9.64468E8</v>
      </c>
      <c r="AR6" s="8">
        <v>9.00148E8</v>
      </c>
      <c r="AS6" s="8">
        <v>8.4545E8</v>
      </c>
      <c r="AT6" s="8">
        <v>8.64734E8</v>
      </c>
      <c r="AU6" s="8">
        <v>8.76009E8</v>
      </c>
      <c r="AV6" s="8">
        <v>8.43932E8</v>
      </c>
      <c r="AW6" s="8">
        <v>8.38129E8</v>
      </c>
      <c r="AX6" s="8">
        <v>8.04885E8</v>
      </c>
      <c r="AY6" s="8">
        <v>7.98313E8</v>
      </c>
      <c r="AZ6" s="8">
        <v>7.65779E8</v>
      </c>
      <c r="BA6" s="8">
        <v>7.21902E8</v>
      </c>
      <c r="BB6" s="8">
        <v>7.36334E8</v>
      </c>
      <c r="BC6" s="8">
        <v>7.35222E8</v>
      </c>
      <c r="BD6" s="8">
        <v>7.09033E8</v>
      </c>
      <c r="BE6" s="8">
        <v>7.46456E8</v>
      </c>
      <c r="BF6" s="8">
        <v>6.86843E8</v>
      </c>
      <c r="BG6" s="8">
        <v>6.72825E8</v>
      </c>
      <c r="BH6" s="8">
        <v>6.30489E8</v>
      </c>
      <c r="BI6" s="8">
        <v>6.1737E8</v>
      </c>
      <c r="BJ6" s="8">
        <v>6.34055E8</v>
      </c>
      <c r="BK6" s="8">
        <v>6.1498E8</v>
      </c>
      <c r="BL6" s="8">
        <v>5.82504E8</v>
      </c>
      <c r="BM6" s="8">
        <v>5.53905E8</v>
      </c>
      <c r="BN6" s="8">
        <v>5.81097E8</v>
      </c>
      <c r="BO6" s="8">
        <v>6.75378E8</v>
      </c>
      <c r="BP6" s="8">
        <v>5.77692E8</v>
      </c>
      <c r="BQ6" s="8">
        <v>5.62875E8</v>
      </c>
      <c r="BR6" s="8">
        <v>5.23108E8</v>
      </c>
      <c r="BS6" s="8">
        <v>5.30957E8</v>
      </c>
      <c r="BT6" s="8">
        <v>5.02989E8</v>
      </c>
      <c r="BU6" s="8">
        <v>4.98665E8</v>
      </c>
      <c r="BV6" s="8">
        <v>4.77404E8</v>
      </c>
      <c r="BW6" s="8">
        <v>4.7046E8</v>
      </c>
      <c r="BX6" s="8">
        <v>4.56428E8</v>
      </c>
      <c r="BY6" s="8">
        <v>4.39633E8</v>
      </c>
      <c r="BZ6" s="8">
        <v>4.40029E8</v>
      </c>
      <c r="CA6" s="8">
        <v>4.28854E8</v>
      </c>
      <c r="CB6" s="8">
        <v>3.977E8</v>
      </c>
      <c r="CC6" s="8">
        <v>3.91373E8</v>
      </c>
      <c r="CD6" s="8">
        <v>3.85551E8</v>
      </c>
      <c r="CE6" s="8">
        <v>3.70987E8</v>
      </c>
      <c r="CF6" s="8">
        <v>3.48955E8</v>
      </c>
      <c r="CG6" s="8">
        <v>3.50419E8</v>
      </c>
      <c r="CH6" s="8">
        <v>3.35152E8</v>
      </c>
      <c r="CI6" s="8">
        <v>3.13667E8</v>
      </c>
      <c r="CJ6" s="8">
        <v>2.97304E8</v>
      </c>
      <c r="CK6" s="8">
        <v>3.12639E8</v>
      </c>
      <c r="CL6" s="8">
        <v>2.95103E8</v>
      </c>
      <c r="CM6" s="8">
        <v>2.76069E8</v>
      </c>
      <c r="CN6" s="8">
        <v>2.5199E8</v>
      </c>
      <c r="CO6" s="8">
        <v>2.80512E8</v>
      </c>
      <c r="CP6" s="8">
        <v>2.36524E8</v>
      </c>
      <c r="CQ6" s="8">
        <v>2.15985E8</v>
      </c>
      <c r="CR6" s="8">
        <v>2.01878E8</v>
      </c>
      <c r="CS6" s="8">
        <v>1.55489E8</v>
      </c>
      <c r="CT6" s="8">
        <v>2.123E8</v>
      </c>
      <c r="CU6" s="8">
        <v>1.979E8</v>
      </c>
      <c r="CV6" s="8">
        <v>1.829E8</v>
      </c>
      <c r="CW6" s="8">
        <v>1.28013E8</v>
      </c>
      <c r="CX6" s="8">
        <v>1.719E8</v>
      </c>
      <c r="CY6" s="8">
        <v>1.633E8</v>
      </c>
      <c r="CZ6" s="8">
        <v>1.533E8</v>
      </c>
      <c r="DA6" s="8">
        <v>1.23492E8</v>
      </c>
      <c r="DB6" s="8">
        <v>1.382E8</v>
      </c>
      <c r="DC6" s="8">
        <v>1.259E8</v>
      </c>
      <c r="DD6" s="8">
        <v>1.189E8</v>
      </c>
      <c r="DE6" s="8">
        <v>9.2719E7</v>
      </c>
      <c r="DF6" s="8">
        <v>1.123E8</v>
      </c>
      <c r="DG6" s="8">
        <v>1.049E8</v>
      </c>
      <c r="DH6" s="8">
        <v>1.052E8</v>
      </c>
      <c r="DI6" s="8">
        <v>8.3812E7</v>
      </c>
      <c r="DJ6" s="8">
        <v>9.98E7</v>
      </c>
      <c r="DK6" s="8">
        <v>8.94E7</v>
      </c>
      <c r="DL6" s="8">
        <v>8.17E7</v>
      </c>
      <c r="DM6" s="8">
        <v>8.9592E7</v>
      </c>
      <c r="DN6" s="8">
        <v>7.88E7</v>
      </c>
      <c r="DO6" s="8">
        <v>6.85E7</v>
      </c>
      <c r="DP6" s="8">
        <v>6.8E7</v>
      </c>
      <c r="DQ6" s="8">
        <v>7.0E7</v>
      </c>
      <c r="DR6" s="8">
        <v>6.76E7</v>
      </c>
      <c r="DS6" s="8">
        <v>5.94E7</v>
      </c>
      <c r="DT6" s="8">
        <v>5.49E7</v>
      </c>
      <c r="DU6" s="8">
        <v>6.32E7</v>
      </c>
      <c r="DV6" s="8">
        <v>5.21E7</v>
      </c>
      <c r="DW6" s="8">
        <v>5.16E7</v>
      </c>
      <c r="DX6" s="8">
        <v>4.75E7</v>
      </c>
      <c r="DY6" s="8">
        <v>5.1E7</v>
      </c>
      <c r="DZ6" s="8">
        <v>4.84E7</v>
      </c>
      <c r="EA6" s="8">
        <v>4.43E7</v>
      </c>
      <c r="EB6" s="8">
        <v>4.07E7</v>
      </c>
      <c r="EC6" s="8">
        <v>4.57E7</v>
      </c>
      <c r="ED6" s="8">
        <v>4.33E7</v>
      </c>
      <c r="EE6" s="8">
        <v>3.95E7</v>
      </c>
      <c r="EF6" s="8">
        <v>3.73E7</v>
      </c>
      <c r="EG6" s="8">
        <v>4.91E7</v>
      </c>
      <c r="EH6" s="8">
        <v>3.78E7</v>
      </c>
      <c r="EI6" s="8">
        <v>3.78E7</v>
      </c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</row>
    <row r="7">
      <c r="A7" s="5" t="s">
        <v>91</v>
      </c>
      <c r="B7" s="8">
        <v>8.931781E9</v>
      </c>
      <c r="C7" s="8">
        <v>2.352372E9</v>
      </c>
      <c r="D7" s="8">
        <v>2.214616E9</v>
      </c>
      <c r="E7" s="8">
        <v>2.215143E9</v>
      </c>
      <c r="F7" s="8">
        <v>2.14965E9</v>
      </c>
      <c r="G7" s="8">
        <v>2.134797E9</v>
      </c>
      <c r="H7" s="8">
        <v>1.992206E9</v>
      </c>
      <c r="I7" s="8">
        <v>1.903571E9</v>
      </c>
      <c r="J7" s="8">
        <v>1.953851E9</v>
      </c>
      <c r="K7" s="8">
        <v>1.888091E9</v>
      </c>
      <c r="L7" s="8">
        <v>1.846818E9</v>
      </c>
      <c r="M7" s="8">
        <v>1.864471E9</v>
      </c>
      <c r="N7" s="8">
        <v>1.79511E9</v>
      </c>
      <c r="O7" s="8">
        <v>1.775608E9</v>
      </c>
      <c r="P7" s="8">
        <v>1.728908E9</v>
      </c>
      <c r="Q7" s="8">
        <v>1.551888E9</v>
      </c>
      <c r="R7" s="8">
        <v>1.573669E9</v>
      </c>
      <c r="S7" s="8">
        <v>1.571161E9</v>
      </c>
      <c r="T7" s="8">
        <v>1.490039E9</v>
      </c>
      <c r="U7" s="8">
        <v>1.433186E9</v>
      </c>
      <c r="V7" s="8">
        <v>1.452916E9</v>
      </c>
      <c r="W7" s="8">
        <v>1.429397E9</v>
      </c>
      <c r="X7" s="8">
        <v>1.372065E9</v>
      </c>
      <c r="Y7" s="8">
        <v>1.341952E9</v>
      </c>
      <c r="Z7" s="8">
        <v>1.349025E9</v>
      </c>
      <c r="AA7" s="8">
        <v>1.297376E9</v>
      </c>
      <c r="AB7" s="8">
        <v>1.225188E9</v>
      </c>
      <c r="AC7" s="8">
        <v>1.220129E9</v>
      </c>
      <c r="AD7" s="8">
        <v>1.194519E9</v>
      </c>
      <c r="AE7" s="8">
        <v>1.17267E9</v>
      </c>
      <c r="AF7" s="8">
        <v>1.131871E9</v>
      </c>
      <c r="AG7" s="8">
        <v>1.06984E9</v>
      </c>
      <c r="AH7" s="8">
        <v>1.113103E9</v>
      </c>
      <c r="AI7" s="8">
        <v>1.112343E9</v>
      </c>
      <c r="AJ7" s="8">
        <v>1.070511E9</v>
      </c>
      <c r="AK7" s="8">
        <v>9.98723E8</v>
      </c>
      <c r="AL7" s="8">
        <v>1.029605E9</v>
      </c>
      <c r="AM7" s="8">
        <v>1.027048E9</v>
      </c>
      <c r="AN7" s="8">
        <v>9.78038E8</v>
      </c>
      <c r="AO7" s="8">
        <v>8.96689E8</v>
      </c>
      <c r="AP7" s="8">
        <v>9.38252E8</v>
      </c>
      <c r="AQ7" s="8">
        <v>9.64468E8</v>
      </c>
      <c r="AR7" s="8">
        <v>9.00148E8</v>
      </c>
      <c r="AS7" s="8">
        <v>8.4545E8</v>
      </c>
      <c r="AT7" s="8">
        <v>8.64734E8</v>
      </c>
      <c r="AU7" s="8">
        <v>8.76009E8</v>
      </c>
      <c r="AV7" s="8">
        <v>8.43932E8</v>
      </c>
      <c r="AW7" s="8">
        <v>8.38129E8</v>
      </c>
      <c r="AX7" s="8">
        <v>8.04885E8</v>
      </c>
      <c r="AY7" s="8">
        <v>7.98313E8</v>
      </c>
      <c r="AZ7" s="8">
        <v>7.65779E8</v>
      </c>
      <c r="BA7" s="8">
        <v>7.21902E8</v>
      </c>
      <c r="BB7" s="8">
        <v>7.36334E8</v>
      </c>
      <c r="BC7" s="8">
        <v>7.35222E8</v>
      </c>
      <c r="BD7" s="8">
        <v>7.09033E8</v>
      </c>
      <c r="BE7" s="8">
        <v>7.46456E8</v>
      </c>
      <c r="BF7" s="8">
        <v>6.86843E8</v>
      </c>
      <c r="BG7" s="8">
        <v>6.72825E8</v>
      </c>
      <c r="BH7" s="8">
        <v>6.30489E8</v>
      </c>
      <c r="BI7" s="8">
        <v>6.1737E8</v>
      </c>
      <c r="BJ7" s="8">
        <v>6.34055E8</v>
      </c>
      <c r="BK7" s="8">
        <v>6.1498E8</v>
      </c>
      <c r="BL7" s="8">
        <v>5.82504E8</v>
      </c>
      <c r="BM7" s="8">
        <v>5.53905E8</v>
      </c>
      <c r="BN7" s="8">
        <v>5.81097E8</v>
      </c>
      <c r="BO7" s="8">
        <v>6.75378E8</v>
      </c>
      <c r="BP7" s="8">
        <v>5.77692E8</v>
      </c>
      <c r="BQ7" s="8">
        <v>5.62875E8</v>
      </c>
      <c r="BR7" s="8">
        <v>5.23108E8</v>
      </c>
      <c r="BS7" s="8">
        <v>5.30957E8</v>
      </c>
      <c r="BT7" s="8">
        <v>5.02989E8</v>
      </c>
      <c r="BU7" s="8">
        <v>4.98665E8</v>
      </c>
      <c r="BV7" s="8">
        <v>4.77404E8</v>
      </c>
      <c r="BW7" s="8">
        <v>4.7046E8</v>
      </c>
      <c r="BX7" s="8">
        <v>4.56428E8</v>
      </c>
      <c r="BY7" s="8">
        <v>4.39633E8</v>
      </c>
      <c r="BZ7" s="8">
        <v>4.40029E8</v>
      </c>
      <c r="CA7" s="8">
        <v>4.28854E8</v>
      </c>
      <c r="CB7" s="8">
        <v>3.977E8</v>
      </c>
      <c r="CC7" s="8">
        <v>3.91373E8</v>
      </c>
      <c r="CD7" s="8">
        <v>3.85551E8</v>
      </c>
      <c r="CE7" s="8">
        <v>3.70987E8</v>
      </c>
      <c r="CF7" s="8">
        <v>3.48955E8</v>
      </c>
      <c r="CG7" s="8">
        <v>3.50419E8</v>
      </c>
      <c r="CH7" s="8">
        <v>3.35152E8</v>
      </c>
      <c r="CI7" s="8">
        <v>3.13667E8</v>
      </c>
      <c r="CJ7" s="8">
        <v>2.97304E8</v>
      </c>
      <c r="CK7" s="8">
        <v>3.12639E8</v>
      </c>
      <c r="CL7" s="8">
        <v>2.95103E8</v>
      </c>
      <c r="CM7" s="8">
        <v>2.76069E8</v>
      </c>
      <c r="CN7" s="8">
        <v>2.5199E8</v>
      </c>
      <c r="CO7" s="8">
        <v>2.80512E8</v>
      </c>
      <c r="CP7" s="8">
        <v>2.36524E8</v>
      </c>
      <c r="CQ7" s="8">
        <v>2.15985E8</v>
      </c>
      <c r="CR7" s="8">
        <v>2.01878E8</v>
      </c>
      <c r="CS7" s="8">
        <v>2.02289E8</v>
      </c>
      <c r="CT7" s="8">
        <v>1.958E8</v>
      </c>
      <c r="CU7" s="8">
        <v>1.824E8</v>
      </c>
      <c r="CV7" s="8">
        <v>1.681E8</v>
      </c>
      <c r="CW7" s="8">
        <v>1.66813E8</v>
      </c>
      <c r="CX7" s="8">
        <v>1.584E8</v>
      </c>
      <c r="CY7" s="8">
        <v>1.504E8</v>
      </c>
      <c r="CZ7" s="8">
        <v>1.409E8</v>
      </c>
      <c r="DA7" s="8">
        <v>1.51292E8</v>
      </c>
      <c r="DB7" s="8">
        <v>1.282E8</v>
      </c>
      <c r="DC7" s="8">
        <v>1.167E8</v>
      </c>
      <c r="DD7" s="8">
        <v>1.103E8</v>
      </c>
      <c r="DE7" s="8">
        <v>1.15719E8</v>
      </c>
      <c r="DF7" s="8">
        <v>1.042E8</v>
      </c>
      <c r="DG7" s="8">
        <v>9.73E7</v>
      </c>
      <c r="DH7" s="8">
        <v>9.79E7</v>
      </c>
      <c r="DI7" s="8">
        <v>1.01712E8</v>
      </c>
      <c r="DJ7" s="8">
        <v>9.33E7</v>
      </c>
      <c r="DK7" s="8">
        <v>8.34E7</v>
      </c>
      <c r="DL7" s="8">
        <v>7.63E7</v>
      </c>
      <c r="DM7" s="8">
        <v>9.3992E7</v>
      </c>
      <c r="DN7" s="8">
        <v>7.66E7</v>
      </c>
      <c r="DO7" s="8">
        <v>6.46E7</v>
      </c>
      <c r="DP7" s="8">
        <v>6.43E7</v>
      </c>
      <c r="DQ7" s="8">
        <v>7.48E7</v>
      </c>
      <c r="DR7" s="8">
        <v>6.2E7</v>
      </c>
      <c r="DS7" s="8">
        <v>5.67E7</v>
      </c>
      <c r="DT7" s="8">
        <v>5.24E7</v>
      </c>
      <c r="DU7" s="8">
        <v>6.1E7</v>
      </c>
      <c r="DV7" s="8">
        <v>4.99E7</v>
      </c>
      <c r="DW7" s="8">
        <v>4.97E7</v>
      </c>
      <c r="DX7" s="8">
        <v>4.56E7</v>
      </c>
      <c r="DY7" s="8">
        <v>4.91E7</v>
      </c>
      <c r="DZ7" s="8">
        <v>4.67E7</v>
      </c>
      <c r="EA7" s="8">
        <v>4.27E7</v>
      </c>
      <c r="EB7" s="8">
        <v>3.92E7</v>
      </c>
      <c r="EC7" s="8">
        <v>4.4E7</v>
      </c>
      <c r="ED7" s="8">
        <v>4.16E7</v>
      </c>
      <c r="EE7" s="8">
        <v>3.79E7</v>
      </c>
      <c r="EF7" s="8">
        <v>3.58E7</v>
      </c>
      <c r="EG7" s="8">
        <v>4.72E7</v>
      </c>
      <c r="EH7" s="8">
        <v>3.64E7</v>
      </c>
      <c r="EI7" s="8">
        <v>3.64E7</v>
      </c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</row>
    <row r="8">
      <c r="A8" s="9" t="s">
        <v>92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8">
        <v>1.65E7</v>
      </c>
      <c r="CU8" s="8">
        <v>1.55E7</v>
      </c>
      <c r="CV8" s="8">
        <v>1.48E7</v>
      </c>
      <c r="CW8" s="5"/>
      <c r="CX8" s="8">
        <v>1.35E7</v>
      </c>
      <c r="CY8" s="8">
        <v>1.29E7</v>
      </c>
      <c r="CZ8" s="8">
        <v>1.24E7</v>
      </c>
      <c r="DA8" s="5"/>
      <c r="DB8" s="8">
        <v>1.0E7</v>
      </c>
      <c r="DC8" s="8">
        <v>9200000.0</v>
      </c>
      <c r="DD8" s="8">
        <v>8600000.0</v>
      </c>
      <c r="DE8" s="5"/>
      <c r="DF8" s="8">
        <v>8100000.0</v>
      </c>
      <c r="DG8" s="8">
        <v>7600000.0</v>
      </c>
      <c r="DH8" s="8">
        <v>7300000.0</v>
      </c>
      <c r="DI8" s="5"/>
      <c r="DJ8" s="8">
        <v>6500000.0</v>
      </c>
      <c r="DK8" s="8">
        <v>6000000.0</v>
      </c>
      <c r="DL8" s="8">
        <v>5400000.0</v>
      </c>
      <c r="DM8" s="5"/>
      <c r="DN8" s="8">
        <v>2200000.0</v>
      </c>
      <c r="DO8" s="8">
        <v>3900000.0</v>
      </c>
      <c r="DP8" s="8">
        <v>3700000.0</v>
      </c>
      <c r="DQ8" s="8">
        <v>-4800000.0</v>
      </c>
      <c r="DR8" s="8">
        <v>5600000.0</v>
      </c>
      <c r="DS8" s="8">
        <v>2700000.0</v>
      </c>
      <c r="DT8" s="8">
        <v>2500000.0</v>
      </c>
      <c r="DU8" s="8">
        <v>2200000.0</v>
      </c>
      <c r="DV8" s="8">
        <v>2200000.0</v>
      </c>
      <c r="DW8" s="8">
        <v>1900000.0</v>
      </c>
      <c r="DX8" s="8">
        <v>1900000.0</v>
      </c>
      <c r="DY8" s="8">
        <v>1900000.0</v>
      </c>
      <c r="DZ8" s="8">
        <v>1700000.0</v>
      </c>
      <c r="EA8" s="8">
        <v>1600000.0</v>
      </c>
      <c r="EB8" s="8">
        <v>1500000.0</v>
      </c>
      <c r="EC8" s="8">
        <v>1700000.0</v>
      </c>
      <c r="ED8" s="8">
        <v>1700000.0</v>
      </c>
      <c r="EE8" s="8">
        <v>1600000.0</v>
      </c>
      <c r="EF8" s="8">
        <v>1500000.0</v>
      </c>
      <c r="EG8" s="8">
        <v>1900000.0</v>
      </c>
      <c r="EH8" s="8">
        <v>1400000.0</v>
      </c>
      <c r="EI8" s="8">
        <v>1400000.0</v>
      </c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</row>
    <row r="9">
      <c r="A9" s="9" t="s">
        <v>93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8">
        <v>1.65E7</v>
      </c>
      <c r="CU9" s="8">
        <v>1.55E7</v>
      </c>
      <c r="CV9" s="8">
        <v>1.48E7</v>
      </c>
      <c r="CW9" s="5"/>
      <c r="CX9" s="8">
        <v>1.35E7</v>
      </c>
      <c r="CY9" s="8">
        <v>1.29E7</v>
      </c>
      <c r="CZ9" s="8">
        <v>1.24E7</v>
      </c>
      <c r="DA9" s="5"/>
      <c r="DB9" s="8">
        <v>1.0E7</v>
      </c>
      <c r="DC9" s="8">
        <v>9200000.0</v>
      </c>
      <c r="DD9" s="8">
        <v>8600000.0</v>
      </c>
      <c r="DE9" s="5"/>
      <c r="DF9" s="8">
        <v>8100000.0</v>
      </c>
      <c r="DG9" s="8">
        <v>7600000.0</v>
      </c>
      <c r="DH9" s="8">
        <v>7300000.0</v>
      </c>
      <c r="DI9" s="5"/>
      <c r="DJ9" s="8">
        <v>6500000.0</v>
      </c>
      <c r="DK9" s="8">
        <v>6000000.0</v>
      </c>
      <c r="DL9" s="8">
        <v>5400000.0</v>
      </c>
      <c r="DM9" s="5"/>
      <c r="DN9" s="8">
        <v>2200000.0</v>
      </c>
      <c r="DO9" s="8">
        <v>3900000.0</v>
      </c>
      <c r="DP9" s="8">
        <v>3700000.0</v>
      </c>
      <c r="DQ9" s="8">
        <v>-4800000.0</v>
      </c>
      <c r="DR9" s="8">
        <v>5600000.0</v>
      </c>
      <c r="DS9" s="8">
        <v>2700000.0</v>
      </c>
      <c r="DT9" s="8">
        <v>2500000.0</v>
      </c>
      <c r="DU9" s="8">
        <v>2200000.0</v>
      </c>
      <c r="DV9" s="8">
        <v>2200000.0</v>
      </c>
      <c r="DW9" s="8">
        <v>1900000.0</v>
      </c>
      <c r="DX9" s="8">
        <v>1900000.0</v>
      </c>
      <c r="DY9" s="8">
        <v>1900000.0</v>
      </c>
      <c r="DZ9" s="8">
        <v>1700000.0</v>
      </c>
      <c r="EA9" s="8">
        <v>1600000.0</v>
      </c>
      <c r="EB9" s="8">
        <v>1500000.0</v>
      </c>
      <c r="EC9" s="8">
        <v>1700000.0</v>
      </c>
      <c r="ED9" s="8">
        <v>1700000.0</v>
      </c>
      <c r="EE9" s="8">
        <v>1600000.0</v>
      </c>
      <c r="EF9" s="8">
        <v>1500000.0</v>
      </c>
      <c r="EG9" s="8">
        <v>1900000.0</v>
      </c>
      <c r="EH9" s="8">
        <v>1400000.0</v>
      </c>
      <c r="EI9" s="8">
        <v>1400000.0</v>
      </c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</row>
    <row r="10">
      <c r="A10" s="9" t="s">
        <v>94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8">
        <v>1.65E7</v>
      </c>
      <c r="CU10" s="8">
        <v>1.55E7</v>
      </c>
      <c r="CV10" s="8">
        <v>1.48E7</v>
      </c>
      <c r="CW10" s="5"/>
      <c r="CX10" s="8">
        <v>1.35E7</v>
      </c>
      <c r="CY10" s="8">
        <v>1.29E7</v>
      </c>
      <c r="CZ10" s="8">
        <v>1.24E7</v>
      </c>
      <c r="DA10" s="5"/>
      <c r="DB10" s="8">
        <v>1.0E7</v>
      </c>
      <c r="DC10" s="8">
        <v>9200000.0</v>
      </c>
      <c r="DD10" s="8">
        <v>8600000.0</v>
      </c>
      <c r="DE10" s="5"/>
      <c r="DF10" s="8">
        <v>8100000.0</v>
      </c>
      <c r="DG10" s="8">
        <v>7600000.0</v>
      </c>
      <c r="DH10" s="8">
        <v>7300000.0</v>
      </c>
      <c r="DI10" s="5"/>
      <c r="DJ10" s="8">
        <v>6500000.0</v>
      </c>
      <c r="DK10" s="8">
        <v>6000000.0</v>
      </c>
      <c r="DL10" s="8">
        <v>5400000.0</v>
      </c>
      <c r="DM10" s="5"/>
      <c r="DN10" s="8">
        <v>2200000.0</v>
      </c>
      <c r="DO10" s="8">
        <v>3900000.0</v>
      </c>
      <c r="DP10" s="8">
        <v>3700000.0</v>
      </c>
      <c r="DQ10" s="8">
        <v>-4800000.0</v>
      </c>
      <c r="DR10" s="8">
        <v>5600000.0</v>
      </c>
      <c r="DS10" s="8">
        <v>2700000.0</v>
      </c>
      <c r="DT10" s="8">
        <v>2500000.0</v>
      </c>
      <c r="DU10" s="8">
        <v>2200000.0</v>
      </c>
      <c r="DV10" s="8">
        <v>2200000.0</v>
      </c>
      <c r="DW10" s="8">
        <v>1900000.0</v>
      </c>
      <c r="DX10" s="8">
        <v>1900000.0</v>
      </c>
      <c r="DY10" s="8">
        <v>1900000.0</v>
      </c>
      <c r="DZ10" s="8">
        <v>1700000.0</v>
      </c>
      <c r="EA10" s="8">
        <v>1600000.0</v>
      </c>
      <c r="EB10" s="8">
        <v>1500000.0</v>
      </c>
      <c r="EC10" s="8">
        <v>1700000.0</v>
      </c>
      <c r="ED10" s="8">
        <v>1700000.0</v>
      </c>
      <c r="EE10" s="8">
        <v>1600000.0</v>
      </c>
      <c r="EF10" s="8">
        <v>1500000.0</v>
      </c>
      <c r="EG10" s="8">
        <v>1900000.0</v>
      </c>
      <c r="EH10" s="8">
        <v>1400000.0</v>
      </c>
      <c r="EI10" s="8">
        <v>1400000.0</v>
      </c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</row>
    <row r="11">
      <c r="A11" s="5" t="s">
        <v>95</v>
      </c>
      <c r="B11" s="8">
        <v>3.101891E9</v>
      </c>
      <c r="C11" s="8">
        <v>6.92314E8</v>
      </c>
      <c r="D11" s="8">
        <v>7.40858E8</v>
      </c>
      <c r="E11" s="8">
        <v>9.33174E8</v>
      </c>
      <c r="F11" s="8">
        <v>7.35545E8</v>
      </c>
      <c r="G11" s="8">
        <v>9.13426E8</v>
      </c>
      <c r="H11" s="8">
        <v>7.46157E8</v>
      </c>
      <c r="I11" s="8">
        <v>7.96669E8</v>
      </c>
      <c r="J11" s="8">
        <v>6.65588E8</v>
      </c>
      <c r="K11" s="8">
        <v>8.49568E8</v>
      </c>
      <c r="L11" s="8">
        <v>9.0885E8</v>
      </c>
      <c r="M11" s="8">
        <v>8.72224E8</v>
      </c>
      <c r="N11" s="8">
        <v>7.7313E8</v>
      </c>
      <c r="O11" s="8">
        <v>1.042627E9</v>
      </c>
      <c r="P11" s="8">
        <v>8.66784E8</v>
      </c>
      <c r="Q11" s="8">
        <v>7.20875E8</v>
      </c>
      <c r="R11" s="8">
        <v>4.91417E8</v>
      </c>
      <c r="S11" s="8">
        <v>5.77775E8</v>
      </c>
      <c r="T11" s="8">
        <v>5.12237E8</v>
      </c>
      <c r="U11" s="8">
        <v>6.38503E8</v>
      </c>
      <c r="V11" s="8">
        <v>4.42143E8</v>
      </c>
      <c r="W11" s="8">
        <v>5.45476E8</v>
      </c>
      <c r="X11" s="8">
        <v>4.90184E8</v>
      </c>
      <c r="Y11" s="8">
        <v>6.23446E8</v>
      </c>
      <c r="Z11" s="8">
        <v>4.17431E8</v>
      </c>
      <c r="AA11" s="8">
        <v>4.93146E8</v>
      </c>
      <c r="AB11" s="8">
        <v>4.73795E8</v>
      </c>
      <c r="AC11" s="8">
        <v>6.80618E8</v>
      </c>
      <c r="AD11" s="8">
        <v>3.92991E8</v>
      </c>
      <c r="AE11" s="8">
        <v>5.09097E8</v>
      </c>
      <c r="AF11" s="8">
        <v>4.80743E8</v>
      </c>
      <c r="AG11" s="8">
        <v>6.12429E8</v>
      </c>
      <c r="AH11" s="8">
        <v>4.23859E8</v>
      </c>
      <c r="AI11" s="8">
        <v>4.75812E8</v>
      </c>
      <c r="AJ11" s="8">
        <v>4.28194E8</v>
      </c>
      <c r="AK11" s="8">
        <v>5.66716E8</v>
      </c>
      <c r="AL11" s="8">
        <v>3.94143E8</v>
      </c>
      <c r="AM11" s="8">
        <v>4.28526E8</v>
      </c>
      <c r="AN11" s="8">
        <v>3.79708E8</v>
      </c>
      <c r="AO11" s="8">
        <v>5.38122E8</v>
      </c>
      <c r="AP11" s="8">
        <v>3.90241E8</v>
      </c>
      <c r="AQ11" s="8">
        <v>4.12822E8</v>
      </c>
      <c r="AR11" s="8">
        <v>3.95E8</v>
      </c>
      <c r="AS11" s="8">
        <v>5.22349E8</v>
      </c>
      <c r="AT11" s="8">
        <v>3.61389E8</v>
      </c>
      <c r="AU11" s="8">
        <v>3.87214E8</v>
      </c>
      <c r="AV11" s="8">
        <v>3.84324E8</v>
      </c>
      <c r="AW11" s="8">
        <v>5.0824E8</v>
      </c>
      <c r="AX11" s="8">
        <v>3.10917E8</v>
      </c>
      <c r="AY11" s="8">
        <v>3.50029E8</v>
      </c>
      <c r="AZ11" s="8">
        <v>3.21618E8</v>
      </c>
      <c r="BA11" s="8">
        <v>4.08251E8</v>
      </c>
      <c r="BB11" s="8">
        <v>2.74334E8</v>
      </c>
      <c r="BC11" s="8">
        <v>3.00757E8</v>
      </c>
      <c r="BD11" s="8">
        <v>2.90723E8</v>
      </c>
      <c r="BE11" s="8">
        <v>2.78933E8</v>
      </c>
      <c r="BF11" s="8">
        <v>2.16239E8</v>
      </c>
      <c r="BG11" s="8">
        <v>2.33217E8</v>
      </c>
      <c r="BH11" s="8">
        <v>2.24869E8</v>
      </c>
      <c r="BI11" s="8">
        <v>2.20328E8</v>
      </c>
      <c r="BJ11" s="8">
        <v>1.38232E8</v>
      </c>
      <c r="BK11" s="8">
        <v>1.43055E8</v>
      </c>
      <c r="BL11" s="8">
        <v>1.10573E8</v>
      </c>
      <c r="BM11" s="8">
        <v>1.86466E8</v>
      </c>
      <c r="BN11" s="8">
        <v>6.5703E7</v>
      </c>
      <c r="BO11" s="8">
        <v>-5.214E7</v>
      </c>
      <c r="BP11" s="8">
        <v>5.5368E7</v>
      </c>
      <c r="BQ11" s="8">
        <v>8.3075E7</v>
      </c>
      <c r="BR11" s="8">
        <v>3339000.0</v>
      </c>
      <c r="BS11" s="8">
        <v>8.0577E7</v>
      </c>
      <c r="BT11" s="8">
        <v>8.1285E7</v>
      </c>
      <c r="BU11" s="8">
        <v>2.32264E8</v>
      </c>
      <c r="BV11" s="8">
        <v>1.01612E8</v>
      </c>
      <c r="BW11" s="8">
        <v>1.2107E8</v>
      </c>
      <c r="BX11" s="8">
        <v>1.06921E8</v>
      </c>
      <c r="BY11" s="8">
        <v>2.20344E8</v>
      </c>
      <c r="BZ11" s="8">
        <v>1.13956E8</v>
      </c>
      <c r="CA11" s="8">
        <v>1.08126E8</v>
      </c>
      <c r="CB11" s="8">
        <v>1.1455E8</v>
      </c>
      <c r="CC11" s="8">
        <v>1.85123E8</v>
      </c>
      <c r="CD11" s="8">
        <v>1.31346E8</v>
      </c>
      <c r="CE11" s="8">
        <v>1.01843E8</v>
      </c>
      <c r="CF11" s="8">
        <v>1.02951E8</v>
      </c>
      <c r="CG11" s="8">
        <v>1.77545E8</v>
      </c>
      <c r="CH11" s="8">
        <v>9.3431E7</v>
      </c>
      <c r="CI11" s="8">
        <v>7.376E7</v>
      </c>
      <c r="CJ11" s="8">
        <v>8.2988E7</v>
      </c>
      <c r="CK11" s="8">
        <v>1.62884E8</v>
      </c>
      <c r="CL11" s="8">
        <v>8.6078E7</v>
      </c>
      <c r="CM11" s="8">
        <v>5.5214E7</v>
      </c>
      <c r="CN11" s="8">
        <v>6.9435E7</v>
      </c>
      <c r="CO11" s="8">
        <v>9.4345E7</v>
      </c>
      <c r="CP11" s="8">
        <v>8.484E7</v>
      </c>
      <c r="CQ11" s="8">
        <v>6.5988E7</v>
      </c>
      <c r="CR11" s="8">
        <v>7.0831E7</v>
      </c>
      <c r="CS11" s="8">
        <v>1.42202E8</v>
      </c>
      <c r="CT11" s="8">
        <v>8.2E7</v>
      </c>
      <c r="CU11" s="8">
        <v>6.72E7</v>
      </c>
      <c r="CV11" s="8">
        <v>5.79E7</v>
      </c>
      <c r="CW11" s="8">
        <v>1.18564E8</v>
      </c>
      <c r="CX11" s="8">
        <v>6.63E7</v>
      </c>
      <c r="CY11" s="8">
        <v>5.51E7</v>
      </c>
      <c r="CZ11" s="8">
        <v>4.94E7</v>
      </c>
      <c r="DA11" s="8">
        <v>1.05043E8</v>
      </c>
      <c r="DB11" s="8">
        <v>5.56E7</v>
      </c>
      <c r="DC11" s="8">
        <v>4.34E7</v>
      </c>
      <c r="DD11" s="8">
        <v>3.15E7</v>
      </c>
      <c r="DE11" s="8">
        <v>8.3376E7</v>
      </c>
      <c r="DF11" s="8">
        <v>4.45E7</v>
      </c>
      <c r="DG11" s="8">
        <v>3.64E7</v>
      </c>
      <c r="DH11" s="8">
        <v>2.55E7</v>
      </c>
      <c r="DI11" s="8">
        <v>6.3307E7</v>
      </c>
      <c r="DJ11" s="8">
        <v>3.5E7</v>
      </c>
      <c r="DK11" s="8">
        <v>3.05E7</v>
      </c>
      <c r="DL11" s="8">
        <v>2.0E7</v>
      </c>
      <c r="DM11" s="8">
        <v>5.3487E7</v>
      </c>
      <c r="DN11" s="8">
        <v>2.89E7</v>
      </c>
      <c r="DO11" s="8">
        <v>2.31E7</v>
      </c>
      <c r="DP11" s="8">
        <v>1.57E7</v>
      </c>
      <c r="DQ11" s="8">
        <v>3.6E7</v>
      </c>
      <c r="DR11" s="8">
        <v>1.77E7</v>
      </c>
      <c r="DS11" s="8">
        <v>1.63E7</v>
      </c>
      <c r="DT11" s="8">
        <v>1.01E7</v>
      </c>
      <c r="DU11" s="8">
        <v>2.82E7</v>
      </c>
      <c r="DV11" s="8">
        <v>1.44E7</v>
      </c>
      <c r="DW11" s="8">
        <v>1.14E7</v>
      </c>
      <c r="DX11" s="8">
        <v>6900000.0</v>
      </c>
      <c r="DY11" s="8">
        <v>2.02E7</v>
      </c>
      <c r="DZ11" s="8">
        <v>8100000.0</v>
      </c>
      <c r="EA11" s="8">
        <v>6800000.0</v>
      </c>
      <c r="EB11" s="8">
        <v>2600000.0</v>
      </c>
      <c r="EC11" s="8">
        <v>1.48E7</v>
      </c>
      <c r="ED11" s="8">
        <v>6100000.0</v>
      </c>
      <c r="EE11" s="8">
        <v>5700000.0</v>
      </c>
      <c r="EF11" s="8">
        <v>1700000.0</v>
      </c>
      <c r="EG11" s="8">
        <v>1.31E7</v>
      </c>
      <c r="EH11" s="8">
        <v>6000000.0</v>
      </c>
      <c r="EI11" s="8">
        <v>6000000.0</v>
      </c>
      <c r="EJ11" s="8">
        <v>1.299E8</v>
      </c>
      <c r="EK11" s="8">
        <v>-4.004E8</v>
      </c>
      <c r="EL11" s="8">
        <v>1.531E8</v>
      </c>
      <c r="EM11" s="8">
        <v>1.456E8</v>
      </c>
      <c r="EN11" s="8">
        <v>1.242E8</v>
      </c>
      <c r="EO11" s="8">
        <v>-3.806E8</v>
      </c>
      <c r="EP11" s="8">
        <v>1.369E8</v>
      </c>
      <c r="EQ11" s="8">
        <v>1.46E8</v>
      </c>
      <c r="ER11" s="8">
        <v>1.16E8</v>
      </c>
      <c r="ES11" s="8">
        <v>-3.641E8</v>
      </c>
      <c r="ET11" s="8">
        <v>1.34E8</v>
      </c>
      <c r="EU11" s="8">
        <v>1.359E8</v>
      </c>
      <c r="EV11" s="8">
        <v>1.087E8</v>
      </c>
      <c r="EW11" s="8">
        <v>-3.603E8</v>
      </c>
      <c r="EX11" s="8">
        <v>1.387E8</v>
      </c>
      <c r="EY11" s="5"/>
      <c r="EZ11" s="5"/>
    </row>
    <row r="12">
      <c r="A12" s="5" t="s">
        <v>96</v>
      </c>
      <c r="B12" s="8">
        <v>-2.95874E8</v>
      </c>
      <c r="C12" s="8">
        <v>-8.4337E7</v>
      </c>
      <c r="D12" s="8">
        <v>-8.3038E7</v>
      </c>
      <c r="E12" s="8">
        <v>-7.4818E7</v>
      </c>
      <c r="F12" s="8">
        <v>-5.3681E7</v>
      </c>
      <c r="G12" s="8">
        <v>-4.3098E7</v>
      </c>
      <c r="H12" s="8">
        <v>-3.9676E7</v>
      </c>
      <c r="I12" s="8">
        <v>-3.8506E7</v>
      </c>
      <c r="J12" s="8">
        <v>-3.9198E7</v>
      </c>
      <c r="K12" s="8">
        <v>-3.943E7</v>
      </c>
      <c r="L12" s="8">
        <v>-4.0392E7</v>
      </c>
      <c r="M12" s="8">
        <v>-4.0268E7</v>
      </c>
      <c r="N12" s="8">
        <v>-4.0298E7</v>
      </c>
      <c r="O12" s="8">
        <v>-3.9326E7</v>
      </c>
      <c r="P12" s="8">
        <v>-3.0493E7</v>
      </c>
      <c r="Q12" s="8">
        <v>-2.5567E7</v>
      </c>
      <c r="R12" s="8">
        <v>-2.4264E7</v>
      </c>
      <c r="S12" s="8">
        <v>-2.481E7</v>
      </c>
      <c r="T12" s="8">
        <v>-2.5933E7</v>
      </c>
      <c r="U12" s="8">
        <v>-2.5061E7</v>
      </c>
      <c r="V12" s="8">
        <v>-2.4586E7</v>
      </c>
      <c r="W12" s="8">
        <v>-2.5451E7</v>
      </c>
      <c r="X12" s="8">
        <v>-2.4773E7</v>
      </c>
      <c r="Y12" s="8">
        <v>-2.4289E7</v>
      </c>
      <c r="Z12" s="8">
        <v>-2.3995E7</v>
      </c>
      <c r="AA12" s="8">
        <v>-2.3748E7</v>
      </c>
      <c r="AB12" s="8">
        <v>-2.5004E7</v>
      </c>
      <c r="AC12" s="8">
        <v>-2.5511E7</v>
      </c>
      <c r="AD12" s="8">
        <v>-2.3877E7</v>
      </c>
      <c r="AE12" s="8">
        <v>-2.4352E7</v>
      </c>
      <c r="AF12" s="8">
        <v>-2.4081E7</v>
      </c>
      <c r="AG12" s="8">
        <v>-2.3275E7</v>
      </c>
      <c r="AH12" s="8">
        <v>-2.1394E7</v>
      </c>
      <c r="AI12" s="8">
        <v>-2.0699E7</v>
      </c>
      <c r="AJ12" s="8">
        <v>-2.1576E7</v>
      </c>
      <c r="AK12" s="8">
        <v>-2.1532E7</v>
      </c>
      <c r="AL12" s="8">
        <v>-2.1835E7</v>
      </c>
      <c r="AM12" s="8">
        <v>-2.2598E7</v>
      </c>
      <c r="AN12" s="8">
        <v>-2.2267E7</v>
      </c>
      <c r="AO12" s="8">
        <v>-2.2313E7</v>
      </c>
      <c r="AP12" s="8">
        <v>-2.1524E7</v>
      </c>
      <c r="AQ12" s="8">
        <v>-2.0631E7</v>
      </c>
      <c r="AR12" s="8">
        <v>-2.4516E7</v>
      </c>
      <c r="AS12" s="8">
        <v>-2.746E7</v>
      </c>
      <c r="AT12" s="8">
        <v>-2.7726E7</v>
      </c>
      <c r="AU12" s="8">
        <v>-3.5666E7</v>
      </c>
      <c r="AV12" s="8">
        <v>-3.7074E7</v>
      </c>
      <c r="AW12" s="8">
        <v>-4.0069E7</v>
      </c>
      <c r="AX12" s="8">
        <v>-3.8632E7</v>
      </c>
      <c r="AY12" s="8">
        <v>-6.0627E7</v>
      </c>
      <c r="AZ12" s="8">
        <v>-6.5572E7</v>
      </c>
      <c r="BA12" s="8">
        <v>-6.5537E7</v>
      </c>
      <c r="BB12" s="8">
        <v>-6.7145E7</v>
      </c>
      <c r="BC12" s="8">
        <v>-6.9298E7</v>
      </c>
      <c r="BD12" s="8">
        <v>-7.2012E7</v>
      </c>
      <c r="BE12" s="8">
        <v>-7.8943E7</v>
      </c>
      <c r="BF12" s="8">
        <v>-8.7586E7</v>
      </c>
      <c r="BG12" s="8">
        <v>-8.993E7</v>
      </c>
      <c r="BH12" s="8">
        <v>-8.9141E7</v>
      </c>
      <c r="BI12" s="8">
        <v>-9.2966E7</v>
      </c>
      <c r="BJ12" s="8">
        <v>-9.7774E7</v>
      </c>
      <c r="BK12" s="8">
        <v>-9.8217E7</v>
      </c>
      <c r="BL12" s="8">
        <v>-9.9914E7</v>
      </c>
      <c r="BM12" s="8">
        <v>-1.03042E8</v>
      </c>
      <c r="BN12" s="8">
        <v>-1.10569E8</v>
      </c>
      <c r="BO12" s="8">
        <v>-3.7146E7</v>
      </c>
      <c r="BP12" s="8">
        <v>-3594000.0</v>
      </c>
      <c r="BQ12" s="8">
        <v>-5681000.0</v>
      </c>
      <c r="BR12" s="8">
        <v>-1.0019E7</v>
      </c>
      <c r="BS12" s="8">
        <v>-7416000.0</v>
      </c>
      <c r="BT12" s="8">
        <v>-4797000.0</v>
      </c>
      <c r="BU12" s="8">
        <v>-5034000.0</v>
      </c>
      <c r="BV12" s="8">
        <v>-3651000.0</v>
      </c>
      <c r="BW12" s="8">
        <v>-5188000.0</v>
      </c>
      <c r="BX12" s="8">
        <v>-3352000.0</v>
      </c>
      <c r="BY12" s="8">
        <v>-5372000.0</v>
      </c>
      <c r="BZ12" s="8">
        <v>-6364000.0</v>
      </c>
      <c r="CA12" s="8">
        <v>-4041000.0</v>
      </c>
      <c r="CB12" s="8">
        <v>-6442000.0</v>
      </c>
      <c r="CC12" s="8">
        <v>-6217000.0</v>
      </c>
      <c r="CD12" s="8">
        <v>-7976000.0</v>
      </c>
      <c r="CE12" s="8">
        <v>-7899000.0</v>
      </c>
      <c r="CF12" s="8">
        <v>-9411000.0</v>
      </c>
      <c r="CG12" s="8">
        <v>-9333000.0</v>
      </c>
      <c r="CH12" s="8">
        <v>-1.1537E7</v>
      </c>
      <c r="CI12" s="8">
        <v>-1.1337E7</v>
      </c>
      <c r="CJ12" s="8">
        <v>-1.0432E7</v>
      </c>
      <c r="CK12" s="8">
        <v>-1.0752E7</v>
      </c>
      <c r="CL12" s="8">
        <v>-1.148E7</v>
      </c>
      <c r="CM12" s="8">
        <v>-1.1957E7</v>
      </c>
      <c r="CN12" s="8">
        <v>-1.16E7</v>
      </c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</row>
    <row r="13">
      <c r="A13" s="9" t="s">
        <v>97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8">
        <v>36000.0</v>
      </c>
      <c r="AX13" s="8">
        <v>10000.0</v>
      </c>
      <c r="AY13" s="8">
        <v>26000.0</v>
      </c>
      <c r="AZ13" s="8">
        <v>19000.0</v>
      </c>
      <c r="BA13" s="8">
        <v>92000.0</v>
      </c>
      <c r="BB13" s="8">
        <v>90000.0</v>
      </c>
      <c r="BC13" s="8">
        <v>32000.0</v>
      </c>
      <c r="BD13" s="8">
        <v>6000.0</v>
      </c>
      <c r="BE13" s="8">
        <v>9000.0</v>
      </c>
      <c r="BF13" s="8">
        <v>26000.0</v>
      </c>
      <c r="BG13" s="8">
        <v>15000.0</v>
      </c>
      <c r="BH13" s="8">
        <v>94000.0</v>
      </c>
      <c r="BI13" s="8">
        <v>268000.0</v>
      </c>
      <c r="BJ13" s="8">
        <v>619000.0</v>
      </c>
      <c r="BK13" s="8">
        <v>1217000.0</v>
      </c>
      <c r="BL13" s="8">
        <v>957000.0</v>
      </c>
      <c r="BM13" s="8">
        <v>1378000.0</v>
      </c>
      <c r="BN13" s="8">
        <v>1388000.0</v>
      </c>
      <c r="BO13" s="8">
        <v>3506000.0</v>
      </c>
      <c r="BP13" s="8">
        <v>2573000.0</v>
      </c>
      <c r="BQ13" s="8">
        <v>2210000.0</v>
      </c>
      <c r="BR13" s="8">
        <v>885000.0</v>
      </c>
      <c r="BS13" s="8">
        <v>1457000.0</v>
      </c>
      <c r="BT13" s="8">
        <v>2450000.0</v>
      </c>
      <c r="BU13" s="8">
        <v>2559000.0</v>
      </c>
      <c r="BV13" s="8">
        <v>1670000.0</v>
      </c>
      <c r="BW13" s="8">
        <v>2156000.0</v>
      </c>
      <c r="BX13" s="8">
        <v>2616000.0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</row>
    <row r="14">
      <c r="A14" s="5" t="s">
        <v>98</v>
      </c>
      <c r="B14" s="8">
        <v>2.95874E8</v>
      </c>
      <c r="C14" s="8">
        <v>8.4337E7</v>
      </c>
      <c r="D14" s="8">
        <v>8.3038E7</v>
      </c>
      <c r="E14" s="8">
        <v>7.4818E7</v>
      </c>
      <c r="F14" s="8">
        <v>5.3681E7</v>
      </c>
      <c r="G14" s="8">
        <v>4.3098E7</v>
      </c>
      <c r="H14" s="8">
        <v>3.9676E7</v>
      </c>
      <c r="I14" s="8">
        <v>3.8506E7</v>
      </c>
      <c r="J14" s="8">
        <v>3.9198E7</v>
      </c>
      <c r="K14" s="8">
        <v>3.943E7</v>
      </c>
      <c r="L14" s="8">
        <v>4.0392E7</v>
      </c>
      <c r="M14" s="8">
        <v>4.0268E7</v>
      </c>
      <c r="N14" s="8">
        <v>4.0298E7</v>
      </c>
      <c r="O14" s="8">
        <v>3.9326E7</v>
      </c>
      <c r="P14" s="8">
        <v>3.0493E7</v>
      </c>
      <c r="Q14" s="8">
        <v>2.5567E7</v>
      </c>
      <c r="R14" s="8">
        <v>2.4264E7</v>
      </c>
      <c r="S14" s="8">
        <v>2.481E7</v>
      </c>
      <c r="T14" s="8">
        <v>2.5933E7</v>
      </c>
      <c r="U14" s="8">
        <v>2.5061E7</v>
      </c>
      <c r="V14" s="8">
        <v>2.4586E7</v>
      </c>
      <c r="W14" s="8">
        <v>2.5451E7</v>
      </c>
      <c r="X14" s="8">
        <v>2.4773E7</v>
      </c>
      <c r="Y14" s="8">
        <v>2.4289E7</v>
      </c>
      <c r="Z14" s="8">
        <v>2.3995E7</v>
      </c>
      <c r="AA14" s="8">
        <v>2.3748E7</v>
      </c>
      <c r="AB14" s="8">
        <v>2.5004E7</v>
      </c>
      <c r="AC14" s="8">
        <v>2.5511E7</v>
      </c>
      <c r="AD14" s="8">
        <v>2.3877E7</v>
      </c>
      <c r="AE14" s="8">
        <v>2.4352E7</v>
      </c>
      <c r="AF14" s="8">
        <v>2.4081E7</v>
      </c>
      <c r="AG14" s="8">
        <v>2.3275E7</v>
      </c>
      <c r="AH14" s="8">
        <v>2.1394E7</v>
      </c>
      <c r="AI14" s="8">
        <v>2.0699E7</v>
      </c>
      <c r="AJ14" s="8">
        <v>2.1576E7</v>
      </c>
      <c r="AK14" s="8">
        <v>2.1532E7</v>
      </c>
      <c r="AL14" s="8">
        <v>2.1835E7</v>
      </c>
      <c r="AM14" s="8">
        <v>2.2598E7</v>
      </c>
      <c r="AN14" s="8">
        <v>2.2267E7</v>
      </c>
      <c r="AO14" s="8">
        <v>2.2313E7</v>
      </c>
      <c r="AP14" s="8">
        <v>2.1524E7</v>
      </c>
      <c r="AQ14" s="8">
        <v>2.0631E7</v>
      </c>
      <c r="AR14" s="8">
        <v>2.4516E7</v>
      </c>
      <c r="AS14" s="8">
        <v>2.746E7</v>
      </c>
      <c r="AT14" s="8">
        <v>2.7726E7</v>
      </c>
      <c r="AU14" s="8">
        <v>3.5666E7</v>
      </c>
      <c r="AV14" s="8">
        <v>3.7074E7</v>
      </c>
      <c r="AW14" s="8">
        <v>4.0105E7</v>
      </c>
      <c r="AX14" s="8">
        <v>3.8642E7</v>
      </c>
      <c r="AY14" s="8">
        <v>6.0653E7</v>
      </c>
      <c r="AZ14" s="8">
        <v>6.5591E7</v>
      </c>
      <c r="BA14" s="8">
        <v>6.5629E7</v>
      </c>
      <c r="BB14" s="8">
        <v>6.7235E7</v>
      </c>
      <c r="BC14" s="8">
        <v>6.933E7</v>
      </c>
      <c r="BD14" s="8">
        <v>7.2018E7</v>
      </c>
      <c r="BE14" s="8">
        <v>7.8952E7</v>
      </c>
      <c r="BF14" s="8">
        <v>8.7612E7</v>
      </c>
      <c r="BG14" s="8">
        <v>8.9945E7</v>
      </c>
      <c r="BH14" s="8">
        <v>8.9235E7</v>
      </c>
      <c r="BI14" s="8">
        <v>9.3234E7</v>
      </c>
      <c r="BJ14" s="8">
        <v>9.8393E7</v>
      </c>
      <c r="BK14" s="8">
        <v>9.9434E7</v>
      </c>
      <c r="BL14" s="8">
        <v>1.00871E8</v>
      </c>
      <c r="BM14" s="8">
        <v>1.0442E8</v>
      </c>
      <c r="BN14" s="8">
        <v>1.11957E8</v>
      </c>
      <c r="BO14" s="8">
        <v>4.0652E7</v>
      </c>
      <c r="BP14" s="8">
        <v>6167000.0</v>
      </c>
      <c r="BQ14" s="8">
        <v>7891000.0</v>
      </c>
      <c r="BR14" s="8">
        <v>1.0904E7</v>
      </c>
      <c r="BS14" s="8">
        <v>8873000.0</v>
      </c>
      <c r="BT14" s="8">
        <v>7247000.0</v>
      </c>
      <c r="BU14" s="8">
        <v>7593000.0</v>
      </c>
      <c r="BV14" s="8">
        <v>5321000.0</v>
      </c>
      <c r="BW14" s="8">
        <v>7344000.0</v>
      </c>
      <c r="BX14" s="8">
        <v>5968000.0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8">
        <v>1.1337E7</v>
      </c>
      <c r="CJ14" s="8">
        <v>1.0432E7</v>
      </c>
      <c r="CK14" s="8">
        <v>1.0752E7</v>
      </c>
      <c r="CL14" s="8">
        <v>1.148E7</v>
      </c>
      <c r="CM14" s="8">
        <v>1.1957E7</v>
      </c>
      <c r="CN14" s="8">
        <v>1.16E7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</row>
    <row r="15">
      <c r="A15" s="9" t="s">
        <v>99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8">
        <v>6364000.0</v>
      </c>
      <c r="CA15" s="8">
        <v>4041000.0</v>
      </c>
      <c r="CB15" s="8">
        <v>6442000.0</v>
      </c>
      <c r="CC15" s="8">
        <v>6217000.0</v>
      </c>
      <c r="CD15" s="8">
        <v>7976000.0</v>
      </c>
      <c r="CE15" s="8">
        <v>7899000.0</v>
      </c>
      <c r="CF15" s="8">
        <v>9411000.0</v>
      </c>
      <c r="CG15" s="5"/>
      <c r="CH15" s="8">
        <v>1.1537E7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</row>
    <row r="16">
      <c r="A16" s="9" t="s">
        <v>100</v>
      </c>
      <c r="B16" s="5"/>
      <c r="C16" s="5"/>
      <c r="D16" s="5"/>
      <c r="E16" s="10">
        <v>0.0</v>
      </c>
      <c r="F16" s="8">
        <v>-415000.0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10">
        <v>0.0</v>
      </c>
      <c r="V16" s="5"/>
      <c r="W16" s="8">
        <v>-1019000.0</v>
      </c>
      <c r="X16" s="5"/>
      <c r="Y16" s="10">
        <v>0.0</v>
      </c>
      <c r="Z16" s="5"/>
      <c r="AA16" s="5"/>
      <c r="AB16" s="8">
        <v>-3502000.0</v>
      </c>
      <c r="AC16" s="5"/>
      <c r="AD16" s="5"/>
      <c r="AE16" s="5"/>
      <c r="AF16" s="5"/>
      <c r="AG16" s="10">
        <v>0.0</v>
      </c>
      <c r="AH16" s="8">
        <v>-326000.0</v>
      </c>
      <c r="AI16" s="5"/>
      <c r="AJ16" s="5"/>
      <c r="AK16" s="5"/>
      <c r="AL16" s="5"/>
      <c r="AM16" s="5"/>
      <c r="AN16" s="5"/>
      <c r="AO16" s="10">
        <v>0.0</v>
      </c>
      <c r="AP16" s="5"/>
      <c r="AQ16" s="5"/>
      <c r="AR16" s="8">
        <v>-1.8871E7</v>
      </c>
      <c r="AS16" s="10">
        <v>0.0</v>
      </c>
      <c r="AT16" s="8">
        <v>-1728000.0</v>
      </c>
      <c r="AU16" s="8">
        <v>-2.6557E7</v>
      </c>
      <c r="AV16" s="8">
        <v>-1671000.0</v>
      </c>
      <c r="AW16" s="8">
        <v>-51000.0</v>
      </c>
      <c r="AX16" s="8">
        <v>-53000.0</v>
      </c>
      <c r="AY16" s="8">
        <v>-5.8239E7</v>
      </c>
      <c r="AZ16" s="8">
        <v>-2272000.0</v>
      </c>
      <c r="BA16" s="8">
        <v>-118000.0</v>
      </c>
      <c r="BB16" s="8">
        <v>-8312000.0</v>
      </c>
      <c r="BC16" s="8">
        <v>-6526000.0</v>
      </c>
      <c r="BD16" s="8">
        <v>-145000.0</v>
      </c>
      <c r="BE16" s="8">
        <v>-5.5757E7</v>
      </c>
      <c r="BF16" s="8">
        <v>-513000.0</v>
      </c>
      <c r="BG16" s="8">
        <v>2395000.0</v>
      </c>
      <c r="BH16" s="8">
        <v>-1667000.0</v>
      </c>
      <c r="BI16" s="8">
        <v>6144000.0</v>
      </c>
      <c r="BJ16" s="8">
        <v>-3.4766E7</v>
      </c>
      <c r="BK16" s="8">
        <v>-292000.0</v>
      </c>
      <c r="BL16" s="5"/>
      <c r="BM16" s="8">
        <v>4593000.0</v>
      </c>
      <c r="BN16" s="8">
        <v>-6784000.0</v>
      </c>
      <c r="BO16" s="8">
        <v>567000.0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10">
        <v>0.0</v>
      </c>
      <c r="CH16" s="8">
        <v>2.5041E7</v>
      </c>
      <c r="CI16" s="8">
        <v>4500000.0</v>
      </c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</row>
    <row r="17">
      <c r="A17" s="9" t="s">
        <v>101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8">
        <v>-1728000.0</v>
      </c>
      <c r="AU17" s="8">
        <v>-2.6557E7</v>
      </c>
      <c r="AV17" s="8">
        <v>-1671000.0</v>
      </c>
      <c r="AW17" s="8">
        <v>-51000.0</v>
      </c>
      <c r="AX17" s="8">
        <v>-53000.0</v>
      </c>
      <c r="AY17" s="8">
        <v>-5.8239E7</v>
      </c>
      <c r="AZ17" s="8">
        <v>-2272000.0</v>
      </c>
      <c r="BA17" s="8">
        <v>-118000.0</v>
      </c>
      <c r="BB17" s="8">
        <v>-8312000.0</v>
      </c>
      <c r="BC17" s="8">
        <v>-6526000.0</v>
      </c>
      <c r="BD17" s="8">
        <v>-145000.0</v>
      </c>
      <c r="BE17" s="8">
        <v>-5.5757E7</v>
      </c>
      <c r="BF17" s="8">
        <v>-513000.0</v>
      </c>
      <c r="BG17" s="8">
        <v>2395000.0</v>
      </c>
      <c r="BH17" s="8">
        <v>-1667000.0</v>
      </c>
      <c r="BI17" s="8">
        <v>6144000.0</v>
      </c>
      <c r="BJ17" s="8">
        <v>-3.4766E7</v>
      </c>
      <c r="BK17" s="8">
        <v>-292000.0</v>
      </c>
      <c r="BL17" s="5"/>
      <c r="BM17" s="8">
        <v>4593000.0</v>
      </c>
      <c r="BN17" s="8">
        <v>-6784000.0</v>
      </c>
      <c r="BO17" s="8">
        <v>567000.0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8">
        <v>-1.0E7</v>
      </c>
      <c r="CD17" s="10">
        <v>0.0</v>
      </c>
      <c r="CE17" s="10">
        <v>0.0</v>
      </c>
      <c r="CF17" s="5"/>
      <c r="CG17" s="10">
        <v>0.0</v>
      </c>
      <c r="CH17" s="8">
        <v>2.5041E7</v>
      </c>
      <c r="CI17" s="8">
        <v>4500000.0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</row>
    <row r="18">
      <c r="A18" s="9" t="s">
        <v>102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8">
        <v>1728000.0</v>
      </c>
      <c r="AU18" s="8">
        <v>2.6557E7</v>
      </c>
      <c r="AV18" s="8">
        <v>1671000.0</v>
      </c>
      <c r="AW18" s="8">
        <v>51000.0</v>
      </c>
      <c r="AX18" s="8">
        <v>53000.0</v>
      </c>
      <c r="AY18" s="8">
        <v>5.8239E7</v>
      </c>
      <c r="AZ18" s="8">
        <v>2272000.0</v>
      </c>
      <c r="BA18" s="5"/>
      <c r="BB18" s="5"/>
      <c r="BC18" s="5"/>
      <c r="BD18" s="5"/>
      <c r="BE18" s="8">
        <v>5.5757E7</v>
      </c>
      <c r="BF18" s="8">
        <v>513000.0</v>
      </c>
      <c r="BG18" s="8">
        <v>-2395000.0</v>
      </c>
      <c r="BH18" s="8">
        <v>1667000.0</v>
      </c>
      <c r="BI18" s="8">
        <v>-6144000.0</v>
      </c>
      <c r="BJ18" s="8">
        <v>3.4766E7</v>
      </c>
      <c r="BK18" s="5"/>
      <c r="BL18" s="5"/>
      <c r="BM18" s="8">
        <v>-4593000.0</v>
      </c>
      <c r="BN18" s="8">
        <v>6784000.0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</row>
    <row r="19">
      <c r="A19" s="9" t="s">
        <v>103</v>
      </c>
      <c r="B19" s="5"/>
      <c r="C19" s="5"/>
      <c r="D19" s="5"/>
      <c r="E19" s="10">
        <v>0.0</v>
      </c>
      <c r="F19" s="8">
        <v>-415000.0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10">
        <v>0.0</v>
      </c>
      <c r="V19" s="5"/>
      <c r="W19" s="8">
        <v>-1019000.0</v>
      </c>
      <c r="X19" s="5"/>
      <c r="Y19" s="10">
        <v>0.0</v>
      </c>
      <c r="Z19" s="5"/>
      <c r="AA19" s="5"/>
      <c r="AB19" s="8">
        <v>-3502000.0</v>
      </c>
      <c r="AC19" s="5"/>
      <c r="AD19" s="5"/>
      <c r="AE19" s="5"/>
      <c r="AF19" s="5"/>
      <c r="AG19" s="10">
        <v>0.0</v>
      </c>
      <c r="AH19" s="8">
        <v>-326000.0</v>
      </c>
      <c r="AI19" s="5"/>
      <c r="AJ19" s="5"/>
      <c r="AK19" s="5"/>
      <c r="AL19" s="5"/>
      <c r="AM19" s="5"/>
      <c r="AN19" s="5"/>
      <c r="AO19" s="10">
        <v>0.0</v>
      </c>
      <c r="AP19" s="5"/>
      <c r="AQ19" s="5"/>
      <c r="AR19" s="8">
        <v>-1.8871E7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</row>
    <row r="20">
      <c r="A20" s="5" t="s">
        <v>104</v>
      </c>
      <c r="B20" s="8">
        <v>2.805602E9</v>
      </c>
      <c r="C20" s="8">
        <v>6.07977E8</v>
      </c>
      <c r="D20" s="8">
        <v>6.5782E8</v>
      </c>
      <c r="E20" s="8">
        <v>8.58356E8</v>
      </c>
      <c r="F20" s="8">
        <v>6.81449E8</v>
      </c>
      <c r="G20" s="8">
        <v>8.70328E8</v>
      </c>
      <c r="H20" s="8">
        <v>7.06481E8</v>
      </c>
      <c r="I20" s="8">
        <v>7.58163E8</v>
      </c>
      <c r="J20" s="8">
        <v>6.2639E8</v>
      </c>
      <c r="K20" s="8">
        <v>8.10138E8</v>
      </c>
      <c r="L20" s="8">
        <v>8.68458E8</v>
      </c>
      <c r="M20" s="8">
        <v>8.31956E8</v>
      </c>
      <c r="N20" s="8">
        <v>7.32832E8</v>
      </c>
      <c r="O20" s="8">
        <v>1.003301E9</v>
      </c>
      <c r="P20" s="8">
        <v>8.36291E8</v>
      </c>
      <c r="Q20" s="8">
        <v>6.95308E8</v>
      </c>
      <c r="R20" s="8">
        <v>4.67153E8</v>
      </c>
      <c r="S20" s="8">
        <v>5.52965E8</v>
      </c>
      <c r="T20" s="8">
        <v>4.86304E8</v>
      </c>
      <c r="U20" s="8">
        <v>6.13442E8</v>
      </c>
      <c r="V20" s="8">
        <v>4.17557E8</v>
      </c>
      <c r="W20" s="8">
        <v>5.19006E8</v>
      </c>
      <c r="X20" s="8">
        <v>4.65411E8</v>
      </c>
      <c r="Y20" s="8">
        <v>5.99157E8</v>
      </c>
      <c r="Z20" s="8">
        <v>3.93436E8</v>
      </c>
      <c r="AA20" s="8">
        <v>4.69398E8</v>
      </c>
      <c r="AB20" s="8">
        <v>4.45289E8</v>
      </c>
      <c r="AC20" s="8">
        <v>6.55107E8</v>
      </c>
      <c r="AD20" s="8">
        <v>3.69114E8</v>
      </c>
      <c r="AE20" s="8">
        <v>4.84745E8</v>
      </c>
      <c r="AF20" s="8">
        <v>4.56662E8</v>
      </c>
      <c r="AG20" s="8">
        <v>5.89154E8</v>
      </c>
      <c r="AH20" s="8">
        <v>4.02139E8</v>
      </c>
      <c r="AI20" s="8">
        <v>4.55113E8</v>
      </c>
      <c r="AJ20" s="8">
        <v>4.06618E8</v>
      </c>
      <c r="AK20" s="8">
        <v>5.45184E8</v>
      </c>
      <c r="AL20" s="8">
        <v>3.72308E8</v>
      </c>
      <c r="AM20" s="8">
        <v>4.05928E8</v>
      </c>
      <c r="AN20" s="8">
        <v>3.57441E8</v>
      </c>
      <c r="AO20" s="8">
        <v>5.15809E8</v>
      </c>
      <c r="AP20" s="8">
        <v>3.68717E8</v>
      </c>
      <c r="AQ20" s="8">
        <v>3.92191E8</v>
      </c>
      <c r="AR20" s="8">
        <v>3.51613E8</v>
      </c>
      <c r="AS20" s="8">
        <v>4.94889E8</v>
      </c>
      <c r="AT20" s="8">
        <v>3.31935E8</v>
      </c>
      <c r="AU20" s="8">
        <v>3.24991E8</v>
      </c>
      <c r="AV20" s="8">
        <v>3.45579E8</v>
      </c>
      <c r="AW20" s="8">
        <v>4.6812E8</v>
      </c>
      <c r="AX20" s="8">
        <v>2.72232E8</v>
      </c>
      <c r="AY20" s="8">
        <v>2.31163E8</v>
      </c>
      <c r="AZ20" s="8">
        <v>2.53774E8</v>
      </c>
      <c r="BA20" s="8">
        <v>3.42596E8</v>
      </c>
      <c r="BB20" s="8">
        <v>1.98877E8</v>
      </c>
      <c r="BC20" s="8">
        <v>2.24933E8</v>
      </c>
      <c r="BD20" s="8">
        <v>2.18566E8</v>
      </c>
      <c r="BE20" s="8">
        <v>1.44233E8</v>
      </c>
      <c r="BF20" s="8">
        <v>1.2814E8</v>
      </c>
      <c r="BG20" s="8">
        <v>1.45682E8</v>
      </c>
      <c r="BH20" s="8">
        <v>1.34061E8</v>
      </c>
      <c r="BI20" s="8">
        <v>1.33506E8</v>
      </c>
      <c r="BJ20" s="8">
        <v>5692000.0</v>
      </c>
      <c r="BK20" s="8">
        <v>4.4546E7</v>
      </c>
      <c r="BL20" s="8">
        <v>1.0659E7</v>
      </c>
      <c r="BM20" s="8">
        <v>8.8017E7</v>
      </c>
      <c r="BN20" s="8">
        <v>-5.165E7</v>
      </c>
      <c r="BO20" s="8">
        <v>-8.8719E7</v>
      </c>
      <c r="BP20" s="8">
        <v>5.1774E7</v>
      </c>
      <c r="BQ20" s="8">
        <v>7.7394E7</v>
      </c>
      <c r="BR20" s="8">
        <v>-6680000.0</v>
      </c>
      <c r="BS20" s="8">
        <v>7.3161E7</v>
      </c>
      <c r="BT20" s="8">
        <v>7.6488E7</v>
      </c>
      <c r="BU20" s="8">
        <v>2.2723E8</v>
      </c>
      <c r="BV20" s="8">
        <v>9.7961E7</v>
      </c>
      <c r="BW20" s="8">
        <v>1.15882E8</v>
      </c>
      <c r="BX20" s="8">
        <v>1.03569E8</v>
      </c>
      <c r="BY20" s="8">
        <v>2.14972E8</v>
      </c>
      <c r="BZ20" s="8">
        <v>1.07592E8</v>
      </c>
      <c r="CA20" s="8">
        <v>1.04085E8</v>
      </c>
      <c r="CB20" s="8">
        <v>1.08108E8</v>
      </c>
      <c r="CC20" s="8">
        <v>1.68906E8</v>
      </c>
      <c r="CD20" s="8">
        <v>1.2337E8</v>
      </c>
      <c r="CE20" s="8">
        <v>9.3944E7</v>
      </c>
      <c r="CF20" s="8">
        <v>9.354E7</v>
      </c>
      <c r="CG20" s="8">
        <v>1.68212E8</v>
      </c>
      <c r="CH20" s="8">
        <v>1.06935E8</v>
      </c>
      <c r="CI20" s="8">
        <v>6.6923E7</v>
      </c>
      <c r="CJ20" s="8">
        <v>7.2556E7</v>
      </c>
      <c r="CK20" s="8">
        <v>1.52132E8</v>
      </c>
      <c r="CL20" s="8">
        <v>7.4598E7</v>
      </c>
      <c r="CM20" s="8">
        <v>4.3257E7</v>
      </c>
      <c r="CN20" s="8">
        <v>5.7835E7</v>
      </c>
      <c r="CO20" s="8">
        <v>-1.02553E8</v>
      </c>
      <c r="CP20" s="8">
        <v>7.9985E7</v>
      </c>
      <c r="CQ20" s="8">
        <v>6.1662E7</v>
      </c>
      <c r="CR20" s="8">
        <v>6.9553E7</v>
      </c>
      <c r="CS20" s="8">
        <v>1.42045E8</v>
      </c>
      <c r="CT20" s="8">
        <v>7.98E7</v>
      </c>
      <c r="CU20" s="8">
        <v>6.53E7</v>
      </c>
      <c r="CV20" s="8">
        <v>5.7E7</v>
      </c>
      <c r="CW20" s="8">
        <v>1.16515E8</v>
      </c>
      <c r="CX20" s="8">
        <v>6.29E7</v>
      </c>
      <c r="CY20" s="8">
        <v>5.31E7</v>
      </c>
      <c r="CZ20" s="8">
        <v>4.84E7</v>
      </c>
      <c r="DA20" s="8">
        <v>1.03879E8</v>
      </c>
      <c r="DB20" s="8">
        <v>5.4E7</v>
      </c>
      <c r="DC20" s="8">
        <v>4.29E7</v>
      </c>
      <c r="DD20" s="8">
        <v>3.1E7</v>
      </c>
      <c r="DE20" s="8">
        <v>8.2417E7</v>
      </c>
      <c r="DF20" s="8">
        <v>4.29E7</v>
      </c>
      <c r="DG20" s="8">
        <v>3.53E7</v>
      </c>
      <c r="DH20" s="8">
        <v>2.42E7</v>
      </c>
      <c r="DI20" s="8">
        <v>6.1446E7</v>
      </c>
      <c r="DJ20" s="8">
        <v>3.25E7</v>
      </c>
      <c r="DK20" s="8">
        <v>2.88E7</v>
      </c>
      <c r="DL20" s="8">
        <v>1.27E7</v>
      </c>
      <c r="DM20" s="8">
        <v>5.2788E7</v>
      </c>
      <c r="DN20" s="8">
        <v>2.78E7</v>
      </c>
      <c r="DO20" s="8">
        <v>2.25E7</v>
      </c>
      <c r="DP20" s="8">
        <v>1.53E7</v>
      </c>
      <c r="DQ20" s="8">
        <v>3.55E7</v>
      </c>
      <c r="DR20" s="8">
        <v>1.72E7</v>
      </c>
      <c r="DS20" s="8">
        <v>1.56E7</v>
      </c>
      <c r="DT20" s="8">
        <v>9600000.0</v>
      </c>
      <c r="DU20" s="8">
        <v>2.79E7</v>
      </c>
      <c r="DV20" s="8">
        <v>1.34E7</v>
      </c>
      <c r="DW20" s="8">
        <v>1.08E7</v>
      </c>
      <c r="DX20" s="8">
        <v>6300000.0</v>
      </c>
      <c r="DY20" s="8">
        <v>1.96E7</v>
      </c>
      <c r="DZ20" s="8">
        <v>7000000.0</v>
      </c>
      <c r="EA20" s="8">
        <v>6200000.0</v>
      </c>
      <c r="EB20" s="8">
        <v>1900000.0</v>
      </c>
      <c r="EC20" s="8">
        <v>1.38E7</v>
      </c>
      <c r="ED20" s="8">
        <v>4600000.0</v>
      </c>
      <c r="EE20" s="8">
        <v>4100000.0</v>
      </c>
      <c r="EF20" s="8">
        <v>600000.0</v>
      </c>
      <c r="EG20" s="8">
        <v>1.18E7</v>
      </c>
      <c r="EH20" s="8">
        <v>4700000.0</v>
      </c>
      <c r="EI20" s="8">
        <v>4600000.0</v>
      </c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</row>
    <row r="21">
      <c r="A21" s="5" t="s">
        <v>105</v>
      </c>
      <c r="B21" s="8">
        <v>6.37085E8</v>
      </c>
      <c r="C21" s="8">
        <v>1.39142E8</v>
      </c>
      <c r="D21" s="8">
        <v>1.4344E8</v>
      </c>
      <c r="E21" s="8">
        <v>1.99221E8</v>
      </c>
      <c r="F21" s="8">
        <v>1.55282E8</v>
      </c>
      <c r="G21" s="8">
        <v>1.92298E8</v>
      </c>
      <c r="H21" s="8">
        <v>1.53824E8</v>
      </c>
      <c r="I21" s="8">
        <v>1.6073E8</v>
      </c>
      <c r="J21" s="8">
        <v>1.39359E8</v>
      </c>
      <c r="K21" s="8">
        <v>1.73119E8</v>
      </c>
      <c r="L21" s="8">
        <v>1.90709E8</v>
      </c>
      <c r="M21" s="8">
        <v>1.89213E8</v>
      </c>
      <c r="N21" s="8">
        <v>1.58572E8</v>
      </c>
      <c r="O21" s="8">
        <v>2.157E8</v>
      </c>
      <c r="P21" s="8">
        <v>1.85845E8</v>
      </c>
      <c r="Q21" s="8">
        <v>1.59871E8</v>
      </c>
      <c r="R21" s="8">
        <v>1.01603E8</v>
      </c>
      <c r="S21" s="8">
        <v>1.2641E8</v>
      </c>
      <c r="T21" s="8">
        <v>1.01291E8</v>
      </c>
      <c r="U21" s="8">
        <v>1.30201E8</v>
      </c>
      <c r="V21" s="8">
        <v>8.3415E7</v>
      </c>
      <c r="W21" s="8">
        <v>1.11769E8</v>
      </c>
      <c r="X21" s="8">
        <v>1.00559E8</v>
      </c>
      <c r="Y21" s="8">
        <v>-1.12998E8</v>
      </c>
      <c r="Z21" s="8">
        <v>1.40903E8</v>
      </c>
      <c r="AA21" s="8">
        <v>1.74615E8</v>
      </c>
      <c r="AB21" s="8">
        <v>1.658E8</v>
      </c>
      <c r="AC21" s="8">
        <v>2.40931E8</v>
      </c>
      <c r="AD21" s="8">
        <v>1.33799E8</v>
      </c>
      <c r="AE21" s="8">
        <v>1.78227E8</v>
      </c>
      <c r="AF21" s="8">
        <v>1.61538E8</v>
      </c>
      <c r="AG21" s="8">
        <v>2.12979E8</v>
      </c>
      <c r="AH21" s="8">
        <v>1.48818E8</v>
      </c>
      <c r="AI21" s="8">
        <v>1.72764E8</v>
      </c>
      <c r="AJ21" s="8">
        <v>1.53383E8</v>
      </c>
      <c r="AK21" s="8">
        <v>1.89813E8</v>
      </c>
      <c r="AL21" s="8">
        <v>1.35992E8</v>
      </c>
      <c r="AM21" s="8">
        <v>1.54668E8</v>
      </c>
      <c r="AN21" s="8">
        <v>1.35043E8</v>
      </c>
      <c r="AO21" s="8">
        <v>1.93636E8</v>
      </c>
      <c r="AP21" s="8">
        <v>1.31332E8</v>
      </c>
      <c r="AQ21" s="8">
        <v>1.46716E8</v>
      </c>
      <c r="AR21" s="8">
        <v>1.3153E8</v>
      </c>
      <c r="AS21" s="8">
        <v>1.77467E8</v>
      </c>
      <c r="AT21" s="8">
        <v>1.2425E8</v>
      </c>
      <c r="AU21" s="8">
        <v>1.10851E8</v>
      </c>
      <c r="AV21" s="8">
        <v>1.32164E8</v>
      </c>
      <c r="AW21" s="8">
        <v>1.7561E8</v>
      </c>
      <c r="AX21" s="8">
        <v>1.01068E8</v>
      </c>
      <c r="AY21" s="8">
        <v>8.5121E7</v>
      </c>
      <c r="AZ21" s="8">
        <v>9.6805E7</v>
      </c>
      <c r="BA21" s="8">
        <v>1.2005E8</v>
      </c>
      <c r="BB21" s="8">
        <v>7.0757E7</v>
      </c>
      <c r="BC21" s="8">
        <v>8.3738E7</v>
      </c>
      <c r="BD21" s="8">
        <v>8.257E7</v>
      </c>
      <c r="BE21" s="8">
        <v>5.7036E7</v>
      </c>
      <c r="BF21" s="8">
        <v>5.2491E7</v>
      </c>
      <c r="BG21" s="8">
        <v>5.2092E7</v>
      </c>
      <c r="BH21" s="8">
        <v>5.1055E7</v>
      </c>
      <c r="BI21" s="8">
        <v>5.1652E7</v>
      </c>
      <c r="BJ21" s="8">
        <v>1.2998E7</v>
      </c>
      <c r="BK21" s="8">
        <v>1.6828E7</v>
      </c>
      <c r="BL21" s="8">
        <v>4743000.0</v>
      </c>
      <c r="BM21" s="8">
        <v>3.2628E7</v>
      </c>
      <c r="BN21" s="8">
        <v>-1.8618E7</v>
      </c>
      <c r="BO21" s="8">
        <v>-1.9901E7</v>
      </c>
      <c r="BP21" s="8">
        <v>1.6899E7</v>
      </c>
      <c r="BQ21" s="8">
        <v>2.7304E7</v>
      </c>
      <c r="BR21" s="8">
        <v>-1395000.0</v>
      </c>
      <c r="BS21" s="8">
        <v>2.7693E7</v>
      </c>
      <c r="BT21" s="8">
        <v>2.8818E7</v>
      </c>
      <c r="BU21" s="8">
        <v>8.1958E7</v>
      </c>
      <c r="BV21" s="8">
        <v>3.3536E7</v>
      </c>
      <c r="BW21" s="8">
        <v>4.0324E7</v>
      </c>
      <c r="BX21" s="8">
        <v>3.8669E7</v>
      </c>
      <c r="BY21" s="8">
        <v>8.1079E7</v>
      </c>
      <c r="BZ21" s="8">
        <v>3.6466E7</v>
      </c>
      <c r="CA21" s="8">
        <v>3.2763E7</v>
      </c>
      <c r="CB21" s="8">
        <v>4.0259E7</v>
      </c>
      <c r="CC21" s="8">
        <v>6.6077E7</v>
      </c>
      <c r="CD21" s="8">
        <v>4.5467E7</v>
      </c>
      <c r="CE21" s="8">
        <v>3.4008E7</v>
      </c>
      <c r="CF21" s="8">
        <v>3.3208E7</v>
      </c>
      <c r="CG21" s="8">
        <v>6.0126E7</v>
      </c>
      <c r="CH21" s="8">
        <v>3.8365E7</v>
      </c>
      <c r="CI21" s="8">
        <v>2.4561E7</v>
      </c>
      <c r="CJ21" s="8">
        <v>2.6628E7</v>
      </c>
      <c r="CK21" s="8">
        <v>5.4689E7</v>
      </c>
      <c r="CL21" s="8">
        <v>2.7861E7</v>
      </c>
      <c r="CM21" s="8">
        <v>1.6157E7</v>
      </c>
      <c r="CN21" s="8">
        <v>2.1602E7</v>
      </c>
      <c r="CO21" s="8">
        <v>-3.8555E7</v>
      </c>
      <c r="CP21" s="8">
        <v>2.8995E7</v>
      </c>
      <c r="CQ21" s="8">
        <v>2.2352E7</v>
      </c>
      <c r="CR21" s="8">
        <v>2.5213E7</v>
      </c>
      <c r="CS21" s="8">
        <v>5.1418E7</v>
      </c>
      <c r="CT21" s="8">
        <v>2.89E7</v>
      </c>
      <c r="CU21" s="8">
        <v>2.37E7</v>
      </c>
      <c r="CV21" s="8">
        <v>2.07E7</v>
      </c>
      <c r="CW21" s="8">
        <v>3.8482E7</v>
      </c>
      <c r="CX21" s="8">
        <v>2.26E7</v>
      </c>
      <c r="CY21" s="8">
        <v>1.98E7</v>
      </c>
      <c r="CZ21" s="8">
        <v>1.8E7</v>
      </c>
      <c r="DA21" s="8">
        <v>3.8851E7</v>
      </c>
      <c r="DB21" s="8">
        <v>2.04E7</v>
      </c>
      <c r="DC21" s="8">
        <v>1.62E7</v>
      </c>
      <c r="DD21" s="8">
        <v>1.17E7</v>
      </c>
      <c r="DE21" s="8">
        <v>3.0917E7</v>
      </c>
      <c r="DF21" s="8">
        <v>1.63E7</v>
      </c>
      <c r="DG21" s="8">
        <v>1.34E7</v>
      </c>
      <c r="DH21" s="8">
        <v>9200000.0</v>
      </c>
      <c r="DI21" s="8">
        <v>2.2928E7</v>
      </c>
      <c r="DJ21" s="8">
        <v>1.25E7</v>
      </c>
      <c r="DK21" s="8">
        <v>1.11E7</v>
      </c>
      <c r="DL21" s="8">
        <v>1100000.0</v>
      </c>
      <c r="DM21" s="8">
        <v>1.9954E7</v>
      </c>
      <c r="DN21" s="8">
        <v>1.05E7</v>
      </c>
      <c r="DO21" s="8">
        <v>8500000.0</v>
      </c>
      <c r="DP21" s="8">
        <v>5800000.0</v>
      </c>
      <c r="DQ21" s="8">
        <v>1.34E7</v>
      </c>
      <c r="DR21" s="8">
        <v>6200000.0</v>
      </c>
      <c r="DS21" s="8">
        <v>6000000.0</v>
      </c>
      <c r="DT21" s="8">
        <v>3700000.0</v>
      </c>
      <c r="DU21" s="8">
        <v>1.11E7</v>
      </c>
      <c r="DV21" s="8">
        <v>5100000.0</v>
      </c>
      <c r="DW21" s="8">
        <v>4100000.0</v>
      </c>
      <c r="DX21" s="8">
        <v>2400000.0</v>
      </c>
      <c r="DY21" s="8">
        <v>7300000.0</v>
      </c>
      <c r="DZ21" s="8">
        <v>2700000.0</v>
      </c>
      <c r="EA21" s="8">
        <v>2400000.0</v>
      </c>
      <c r="EB21" s="8">
        <v>700000.0</v>
      </c>
      <c r="EC21" s="8">
        <v>4900000.0</v>
      </c>
      <c r="ED21" s="8">
        <v>1800000.0</v>
      </c>
      <c r="EE21" s="8">
        <v>1600000.0</v>
      </c>
      <c r="EF21" s="8">
        <v>200000.0</v>
      </c>
      <c r="EG21" s="8">
        <v>4500000.0</v>
      </c>
      <c r="EH21" s="8">
        <v>1900000.0</v>
      </c>
      <c r="EI21" s="8">
        <v>1800000.0</v>
      </c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</row>
    <row r="22">
      <c r="A22" s="5" t="s">
        <v>106</v>
      </c>
      <c r="B22" s="8">
        <v>2.168517E9</v>
      </c>
      <c r="C22" s="8">
        <v>4.68835E8</v>
      </c>
      <c r="D22" s="8">
        <v>5.1438E8</v>
      </c>
      <c r="E22" s="8">
        <v>6.59135E8</v>
      </c>
      <c r="F22" s="8">
        <v>5.26167E8</v>
      </c>
      <c r="G22" s="8">
        <v>6.7803E8</v>
      </c>
      <c r="H22" s="8">
        <v>5.52657E8</v>
      </c>
      <c r="I22" s="8">
        <v>5.97433E8</v>
      </c>
      <c r="J22" s="8">
        <v>4.87031E8</v>
      </c>
      <c r="K22" s="8">
        <v>6.37019E8</v>
      </c>
      <c r="L22" s="8">
        <v>6.77749E8</v>
      </c>
      <c r="M22" s="8">
        <v>6.42743E8</v>
      </c>
      <c r="N22" s="8">
        <v>5.7426E8</v>
      </c>
      <c r="O22" s="8">
        <v>7.87601E8</v>
      </c>
      <c r="P22" s="8">
        <v>6.50446E8</v>
      </c>
      <c r="Q22" s="8">
        <v>5.35437E8</v>
      </c>
      <c r="R22" s="8">
        <v>3.6555E8</v>
      </c>
      <c r="S22" s="8">
        <v>4.26555E8</v>
      </c>
      <c r="T22" s="8">
        <v>3.85013E8</v>
      </c>
      <c r="U22" s="8">
        <v>4.83241E8</v>
      </c>
      <c r="V22" s="8">
        <v>3.34142E8</v>
      </c>
      <c r="W22" s="8">
        <v>4.07237E8</v>
      </c>
      <c r="X22" s="8">
        <v>3.64852E8</v>
      </c>
      <c r="Y22" s="8">
        <v>7.12155E8</v>
      </c>
      <c r="Z22" s="8">
        <v>2.52533E8</v>
      </c>
      <c r="AA22" s="8">
        <v>2.94783E8</v>
      </c>
      <c r="AB22" s="8">
        <v>2.79489E8</v>
      </c>
      <c r="AC22" s="8">
        <v>4.14176E8</v>
      </c>
      <c r="AD22" s="8">
        <v>2.35315E8</v>
      </c>
      <c r="AE22" s="8">
        <v>3.06518E8</v>
      </c>
      <c r="AF22" s="8">
        <v>2.95124E8</v>
      </c>
      <c r="AG22" s="8">
        <v>3.76175E8</v>
      </c>
      <c r="AH22" s="8">
        <v>2.53321E8</v>
      </c>
      <c r="AI22" s="8">
        <v>2.82349E8</v>
      </c>
      <c r="AJ22" s="8">
        <v>2.53235E8</v>
      </c>
      <c r="AK22" s="8">
        <v>3.55371E8</v>
      </c>
      <c r="AL22" s="8">
        <v>2.36316E8</v>
      </c>
      <c r="AM22" s="8">
        <v>2.5126E8</v>
      </c>
      <c r="AN22" s="8">
        <v>2.22398E8</v>
      </c>
      <c r="AO22" s="8">
        <v>3.22173E8</v>
      </c>
      <c r="AP22" s="8">
        <v>2.37385E8</v>
      </c>
      <c r="AQ22" s="8">
        <v>2.45475E8</v>
      </c>
      <c r="AR22" s="8">
        <v>2.20083E8</v>
      </c>
      <c r="AS22" s="8">
        <v>3.17422E8</v>
      </c>
      <c r="AT22" s="8">
        <v>2.07685E8</v>
      </c>
      <c r="AU22" s="8">
        <v>2.1414E8</v>
      </c>
      <c r="AV22" s="8">
        <v>2.13415E8</v>
      </c>
      <c r="AW22" s="8">
        <v>2.9251E8</v>
      </c>
      <c r="AX22" s="8">
        <v>1.71164E8</v>
      </c>
      <c r="AY22" s="8">
        <v>1.46042E8</v>
      </c>
      <c r="AZ22" s="8">
        <v>1.56969E8</v>
      </c>
      <c r="BA22" s="8">
        <v>2.22546E8</v>
      </c>
      <c r="BB22" s="8">
        <v>1.2812E8</v>
      </c>
      <c r="BC22" s="8">
        <v>1.41195E8</v>
      </c>
      <c r="BD22" s="8">
        <v>1.35996E8</v>
      </c>
      <c r="BE22" s="8">
        <v>8.7197E7</v>
      </c>
      <c r="BF22" s="8">
        <v>7.5649E7</v>
      </c>
      <c r="BG22" s="8">
        <v>9.359E7</v>
      </c>
      <c r="BH22" s="8">
        <v>8.3006E7</v>
      </c>
      <c r="BI22" s="8">
        <v>8.1854E7</v>
      </c>
      <c r="BJ22" s="8">
        <v>-7306000.0</v>
      </c>
      <c r="BK22" s="8">
        <v>2.7718E7</v>
      </c>
      <c r="BL22" s="8">
        <v>5916000.0</v>
      </c>
      <c r="BM22" s="8">
        <v>5.5389E7</v>
      </c>
      <c r="BN22" s="8">
        <v>-3.3032E7</v>
      </c>
      <c r="BO22" s="8">
        <v>-6.8818E7</v>
      </c>
      <c r="BP22" s="8">
        <v>3.4875E7</v>
      </c>
      <c r="BQ22" s="8">
        <v>5.009E7</v>
      </c>
      <c r="BR22" s="8">
        <v>-5285000.0</v>
      </c>
      <c r="BS22" s="8">
        <v>4.5468E7</v>
      </c>
      <c r="BT22" s="8">
        <v>4.767E7</v>
      </c>
      <c r="BU22" s="8">
        <v>1.45272E8</v>
      </c>
      <c r="BV22" s="8">
        <v>6.4425E7</v>
      </c>
      <c r="BW22" s="8">
        <v>7.5558E7</v>
      </c>
      <c r="BX22" s="8">
        <v>6.49E7</v>
      </c>
      <c r="BY22" s="8">
        <v>1.33893E8</v>
      </c>
      <c r="BZ22" s="8">
        <v>7.1126E7</v>
      </c>
      <c r="CA22" s="8">
        <v>7.1322E7</v>
      </c>
      <c r="CB22" s="8">
        <v>6.7849E7</v>
      </c>
      <c r="CC22" s="8">
        <v>1.02829E8</v>
      </c>
      <c r="CD22" s="8">
        <v>7.7903E7</v>
      </c>
      <c r="CE22" s="8">
        <v>5.9936E7</v>
      </c>
      <c r="CF22" s="8">
        <v>6.0332E7</v>
      </c>
      <c r="CG22" s="8">
        <v>1.08086E8</v>
      </c>
      <c r="CH22" s="8">
        <v>6.857E7</v>
      </c>
      <c r="CI22" s="8">
        <v>4.2362E7</v>
      </c>
      <c r="CJ22" s="8">
        <v>4.5928E7</v>
      </c>
      <c r="CK22" s="8">
        <v>9.7443E7</v>
      </c>
      <c r="CL22" s="8">
        <v>4.6737E7</v>
      </c>
      <c r="CM22" s="8">
        <v>2.71E7</v>
      </c>
      <c r="CN22" s="8">
        <v>3.6233E7</v>
      </c>
      <c r="CO22" s="8">
        <v>-6.3998E7</v>
      </c>
      <c r="CP22" s="8">
        <v>5.099E7</v>
      </c>
      <c r="CQ22" s="8">
        <v>3.931E7</v>
      </c>
      <c r="CR22" s="8">
        <v>4.434E7</v>
      </c>
      <c r="CS22" s="8">
        <v>9.1805E7</v>
      </c>
      <c r="CT22" s="8">
        <v>5.09E7</v>
      </c>
      <c r="CU22" s="8">
        <v>4.16E7</v>
      </c>
      <c r="CV22" s="8">
        <v>3.5122E7</v>
      </c>
      <c r="CW22" s="8">
        <v>8.0633E7</v>
      </c>
      <c r="CX22" s="8">
        <v>3.94E7</v>
      </c>
      <c r="CY22" s="8">
        <v>3.23E7</v>
      </c>
      <c r="CZ22" s="8">
        <v>2.94E7</v>
      </c>
      <c r="DA22" s="8">
        <v>6.7428E7</v>
      </c>
      <c r="DB22" s="8">
        <v>3.36E7</v>
      </c>
      <c r="DC22" s="8">
        <v>2.59E7</v>
      </c>
      <c r="DD22" s="8">
        <v>1.85E7</v>
      </c>
      <c r="DE22" s="8">
        <v>5.15E7</v>
      </c>
      <c r="DF22" s="8">
        <v>2.66E7</v>
      </c>
      <c r="DG22" s="8">
        <v>2.19E7</v>
      </c>
      <c r="DH22" s="8">
        <v>1.44E7</v>
      </c>
      <c r="DI22" s="8">
        <v>3.8518E7</v>
      </c>
      <c r="DJ22" s="8">
        <v>2.0E7</v>
      </c>
      <c r="DK22" s="8">
        <v>1.77E7</v>
      </c>
      <c r="DL22" s="8">
        <v>1.16E7</v>
      </c>
      <c r="DM22" s="8">
        <v>3.2834E7</v>
      </c>
      <c r="DN22" s="8">
        <v>1.73E7</v>
      </c>
      <c r="DO22" s="8">
        <v>1.4E7</v>
      </c>
      <c r="DP22" s="8">
        <v>9500000.0</v>
      </c>
      <c r="DQ22" s="8">
        <v>2.21E7</v>
      </c>
      <c r="DR22" s="8">
        <v>1.1E7</v>
      </c>
      <c r="DS22" s="8">
        <v>9600000.0</v>
      </c>
      <c r="DT22" s="8">
        <v>5900000.0</v>
      </c>
      <c r="DU22" s="8">
        <v>1.68E7</v>
      </c>
      <c r="DV22" s="8">
        <v>8300000.0</v>
      </c>
      <c r="DW22" s="8">
        <v>6700000.0</v>
      </c>
      <c r="DX22" s="8">
        <v>3900000.0</v>
      </c>
      <c r="DY22" s="8">
        <v>1.23E7</v>
      </c>
      <c r="DZ22" s="8">
        <v>4300000.0</v>
      </c>
      <c r="EA22" s="8">
        <v>3800000.0</v>
      </c>
      <c r="EB22" s="8">
        <v>1200000.0</v>
      </c>
      <c r="EC22" s="8">
        <v>8900000.0</v>
      </c>
      <c r="ED22" s="8">
        <v>2800000.0</v>
      </c>
      <c r="EE22" s="8">
        <v>2500000.0</v>
      </c>
      <c r="EF22" s="8">
        <v>400000.0</v>
      </c>
      <c r="EG22" s="8">
        <v>7300000.0</v>
      </c>
      <c r="EH22" s="8">
        <v>2800000.0</v>
      </c>
      <c r="EI22" s="8">
        <v>2800000.0</v>
      </c>
      <c r="EJ22" s="8">
        <v>-400000.0</v>
      </c>
      <c r="EK22" s="8">
        <v>6200000.0</v>
      </c>
      <c r="EL22" s="8">
        <v>2500000.0</v>
      </c>
      <c r="EM22" s="8">
        <v>2400000.0</v>
      </c>
      <c r="EN22" s="8">
        <v>-800000.0</v>
      </c>
      <c r="EO22" s="8">
        <v>5300000.0</v>
      </c>
      <c r="EP22" s="8">
        <v>700000.0</v>
      </c>
      <c r="EQ22" s="8">
        <v>2000000.0</v>
      </c>
      <c r="ER22" s="8">
        <v>-1500000.0</v>
      </c>
      <c r="ES22" s="8">
        <v>2500000.0</v>
      </c>
      <c r="ET22" s="8">
        <v>1100000.0</v>
      </c>
      <c r="EU22" s="8">
        <v>2400000.0</v>
      </c>
      <c r="EV22" s="8">
        <v>-1700000.0</v>
      </c>
      <c r="EW22" s="8">
        <v>7600000.0</v>
      </c>
      <c r="EX22" s="8">
        <v>4100000.0</v>
      </c>
      <c r="EY22" s="5"/>
      <c r="EZ22" s="5"/>
    </row>
    <row r="23">
      <c r="A23" s="5" t="s">
        <v>107</v>
      </c>
      <c r="B23" s="8">
        <v>2.168517E9</v>
      </c>
      <c r="C23" s="8">
        <v>4.68835E8</v>
      </c>
      <c r="D23" s="8">
        <v>5.1438E8</v>
      </c>
      <c r="E23" s="8">
        <v>6.59135E8</v>
      </c>
      <c r="F23" s="8">
        <v>5.26167E8</v>
      </c>
      <c r="G23" s="8">
        <v>6.7803E8</v>
      </c>
      <c r="H23" s="8">
        <v>5.52657E8</v>
      </c>
      <c r="I23" s="8">
        <v>5.97433E8</v>
      </c>
      <c r="J23" s="8">
        <v>4.87031E8</v>
      </c>
      <c r="K23" s="8">
        <v>6.37019E8</v>
      </c>
      <c r="L23" s="8">
        <v>6.77749E8</v>
      </c>
      <c r="M23" s="8">
        <v>6.42743E8</v>
      </c>
      <c r="N23" s="8">
        <v>5.7426E8</v>
      </c>
      <c r="O23" s="8">
        <v>7.87601E8</v>
      </c>
      <c r="P23" s="8">
        <v>6.50446E8</v>
      </c>
      <c r="Q23" s="8">
        <v>5.35437E8</v>
      </c>
      <c r="R23" s="8">
        <v>3.6555E8</v>
      </c>
      <c r="S23" s="8">
        <v>4.26555E8</v>
      </c>
      <c r="T23" s="8">
        <v>3.85013E8</v>
      </c>
      <c r="U23" s="8">
        <v>4.83241E8</v>
      </c>
      <c r="V23" s="8">
        <v>3.34142E8</v>
      </c>
      <c r="W23" s="8">
        <v>4.07237E8</v>
      </c>
      <c r="X23" s="8">
        <v>3.64852E8</v>
      </c>
      <c r="Y23" s="8">
        <v>7.12155E8</v>
      </c>
      <c r="Z23" s="8">
        <v>2.52533E8</v>
      </c>
      <c r="AA23" s="8">
        <v>2.94783E8</v>
      </c>
      <c r="AB23" s="8">
        <v>2.79489E8</v>
      </c>
      <c r="AC23" s="8">
        <v>4.14176E8</v>
      </c>
      <c r="AD23" s="8">
        <v>2.35315E8</v>
      </c>
      <c r="AE23" s="8">
        <v>3.06518E8</v>
      </c>
      <c r="AF23" s="8">
        <v>2.95124E8</v>
      </c>
      <c r="AG23" s="8">
        <v>3.76175E8</v>
      </c>
      <c r="AH23" s="8">
        <v>2.53321E8</v>
      </c>
      <c r="AI23" s="8">
        <v>2.82349E8</v>
      </c>
      <c r="AJ23" s="8">
        <v>2.53235E8</v>
      </c>
      <c r="AK23" s="8">
        <v>3.55371E8</v>
      </c>
      <c r="AL23" s="8">
        <v>2.36316E8</v>
      </c>
      <c r="AM23" s="8">
        <v>2.5126E8</v>
      </c>
      <c r="AN23" s="8">
        <v>2.22398E8</v>
      </c>
      <c r="AO23" s="8">
        <v>3.22173E8</v>
      </c>
      <c r="AP23" s="8">
        <v>2.37385E8</v>
      </c>
      <c r="AQ23" s="8">
        <v>2.45475E8</v>
      </c>
      <c r="AR23" s="8">
        <v>2.20083E8</v>
      </c>
      <c r="AS23" s="8">
        <v>3.17422E8</v>
      </c>
      <c r="AT23" s="8">
        <v>2.07685E8</v>
      </c>
      <c r="AU23" s="8">
        <v>2.1414E8</v>
      </c>
      <c r="AV23" s="8">
        <v>2.13415E8</v>
      </c>
      <c r="AW23" s="8">
        <v>2.9251E8</v>
      </c>
      <c r="AX23" s="8">
        <v>1.71164E8</v>
      </c>
      <c r="AY23" s="8">
        <v>1.46042E8</v>
      </c>
      <c r="AZ23" s="8">
        <v>1.56969E8</v>
      </c>
      <c r="BA23" s="8">
        <v>2.22546E8</v>
      </c>
      <c r="BB23" s="8">
        <v>1.2812E8</v>
      </c>
      <c r="BC23" s="8">
        <v>1.41195E8</v>
      </c>
      <c r="BD23" s="8">
        <v>1.35996E8</v>
      </c>
      <c r="BE23" s="8">
        <v>8.7197E7</v>
      </c>
      <c r="BF23" s="8">
        <v>7.5649E7</v>
      </c>
      <c r="BG23" s="8">
        <v>9.359E7</v>
      </c>
      <c r="BH23" s="8">
        <v>8.3006E7</v>
      </c>
      <c r="BI23" s="8">
        <v>8.1854E7</v>
      </c>
      <c r="BJ23" s="8">
        <v>-7306000.0</v>
      </c>
      <c r="BK23" s="8">
        <v>2.7718E7</v>
      </c>
      <c r="BL23" s="8">
        <v>5916000.0</v>
      </c>
      <c r="BM23" s="8">
        <v>5.5389E7</v>
      </c>
      <c r="BN23" s="8">
        <v>-3.3032E7</v>
      </c>
      <c r="BO23" s="8">
        <v>-6.8818E7</v>
      </c>
      <c r="BP23" s="8">
        <v>3.4875E7</v>
      </c>
      <c r="BQ23" s="8">
        <v>5.009E7</v>
      </c>
      <c r="BR23" s="8">
        <v>-5285000.0</v>
      </c>
      <c r="BS23" s="8">
        <v>4.5468E7</v>
      </c>
      <c r="BT23" s="8">
        <v>4.767E7</v>
      </c>
      <c r="BU23" s="8">
        <v>1.45272E8</v>
      </c>
      <c r="BV23" s="8">
        <v>6.4425E7</v>
      </c>
      <c r="BW23" s="8">
        <v>7.5558E7</v>
      </c>
      <c r="BX23" s="8">
        <v>6.49E7</v>
      </c>
      <c r="BY23" s="8">
        <v>1.33893E8</v>
      </c>
      <c r="BZ23" s="8">
        <v>7.1126E7</v>
      </c>
      <c r="CA23" s="8">
        <v>7.1322E7</v>
      </c>
      <c r="CB23" s="8">
        <v>6.7849E7</v>
      </c>
      <c r="CC23" s="8">
        <v>1.02829E8</v>
      </c>
      <c r="CD23" s="8">
        <v>7.7903E7</v>
      </c>
      <c r="CE23" s="8">
        <v>5.9936E7</v>
      </c>
      <c r="CF23" s="8">
        <v>6.0332E7</v>
      </c>
      <c r="CG23" s="8">
        <v>1.08086E8</v>
      </c>
      <c r="CH23" s="8">
        <v>6.857E7</v>
      </c>
      <c r="CI23" s="8">
        <v>4.2362E7</v>
      </c>
      <c r="CJ23" s="8">
        <v>4.5928E7</v>
      </c>
      <c r="CK23" s="8">
        <v>9.7443E7</v>
      </c>
      <c r="CL23" s="8">
        <v>4.6737E7</v>
      </c>
      <c r="CM23" s="8">
        <v>2.71E7</v>
      </c>
      <c r="CN23" s="8">
        <v>3.6233E7</v>
      </c>
      <c r="CO23" s="8">
        <v>-6.3998E7</v>
      </c>
      <c r="CP23" s="8">
        <v>5.099E7</v>
      </c>
      <c r="CQ23" s="8">
        <v>3.931E7</v>
      </c>
      <c r="CR23" s="8">
        <v>4.434E7</v>
      </c>
      <c r="CS23" s="8">
        <v>9.0627E7</v>
      </c>
      <c r="CT23" s="8">
        <v>5.09E7</v>
      </c>
      <c r="CU23" s="8">
        <v>4.16E7</v>
      </c>
      <c r="CV23" s="8">
        <v>3.63E7</v>
      </c>
      <c r="CW23" s="8">
        <v>7.8033E7</v>
      </c>
      <c r="CX23" s="8">
        <v>4.03E7</v>
      </c>
      <c r="CY23" s="8">
        <v>3.33E7</v>
      </c>
      <c r="CZ23" s="8">
        <v>3.04E7</v>
      </c>
      <c r="DA23" s="8">
        <v>6.5028E7</v>
      </c>
      <c r="DB23" s="8">
        <v>3.36E7</v>
      </c>
      <c r="DC23" s="8">
        <v>2.67E7</v>
      </c>
      <c r="DD23" s="8">
        <v>1.93E7</v>
      </c>
      <c r="DE23" s="8">
        <v>5.15E7</v>
      </c>
      <c r="DF23" s="8">
        <v>2.66E7</v>
      </c>
      <c r="DG23" s="8">
        <v>2.19E7</v>
      </c>
      <c r="DH23" s="8">
        <v>1.5E7</v>
      </c>
      <c r="DI23" s="8">
        <v>3.8518E7</v>
      </c>
      <c r="DJ23" s="8">
        <v>2.0E7</v>
      </c>
      <c r="DK23" s="8">
        <v>1.77E7</v>
      </c>
      <c r="DL23" s="8">
        <v>1.16E7</v>
      </c>
      <c r="DM23" s="8">
        <v>3.2834E7</v>
      </c>
      <c r="DN23" s="8">
        <v>1.73E7</v>
      </c>
      <c r="DO23" s="8">
        <v>1.4E7</v>
      </c>
      <c r="DP23" s="8">
        <v>9500000.0</v>
      </c>
      <c r="DQ23" s="8">
        <v>2.21E7</v>
      </c>
      <c r="DR23" s="8">
        <v>1.1E7</v>
      </c>
      <c r="DS23" s="8">
        <v>9600000.0</v>
      </c>
      <c r="DT23" s="8">
        <v>5900000.0</v>
      </c>
      <c r="DU23" s="8">
        <v>1.68E7</v>
      </c>
      <c r="DV23" s="8">
        <v>8300000.0</v>
      </c>
      <c r="DW23" s="8">
        <v>6700000.0</v>
      </c>
      <c r="DX23" s="8">
        <v>3900000.0</v>
      </c>
      <c r="DY23" s="8">
        <v>1.23E7</v>
      </c>
      <c r="DZ23" s="8">
        <v>4300000.0</v>
      </c>
      <c r="EA23" s="8">
        <v>3800000.0</v>
      </c>
      <c r="EB23" s="8">
        <v>1200000.0</v>
      </c>
      <c r="EC23" s="8">
        <v>8900000.0</v>
      </c>
      <c r="ED23" s="8">
        <v>2800000.0</v>
      </c>
      <c r="EE23" s="8">
        <v>2500000.0</v>
      </c>
      <c r="EF23" s="8">
        <v>400000.0</v>
      </c>
      <c r="EG23" s="8">
        <v>7300000.0</v>
      </c>
      <c r="EH23" s="8">
        <v>2800000.0</v>
      </c>
      <c r="EI23" s="8">
        <v>2800000.0</v>
      </c>
      <c r="EJ23" s="8">
        <v>-400000.0</v>
      </c>
      <c r="EK23" s="8">
        <v>6200000.0</v>
      </c>
      <c r="EL23" s="8">
        <v>2500000.0</v>
      </c>
      <c r="EM23" s="8">
        <v>2400000.0</v>
      </c>
      <c r="EN23" s="8">
        <v>-800000.0</v>
      </c>
      <c r="EO23" s="8">
        <v>5300000.0</v>
      </c>
      <c r="EP23" s="8">
        <v>700000.0</v>
      </c>
      <c r="EQ23" s="8">
        <v>2000000.0</v>
      </c>
      <c r="ER23" s="8">
        <v>-1500000.0</v>
      </c>
      <c r="ES23" s="8">
        <v>2500000.0</v>
      </c>
      <c r="ET23" s="8">
        <v>1100000.0</v>
      </c>
      <c r="EU23" s="8">
        <v>2400000.0</v>
      </c>
      <c r="EV23" s="8">
        <v>-1700000.0</v>
      </c>
      <c r="EW23" s="8">
        <v>7600000.0</v>
      </c>
      <c r="EX23" s="8">
        <v>4100000.0</v>
      </c>
      <c r="EY23" s="5"/>
      <c r="EZ23" s="5"/>
    </row>
    <row r="24">
      <c r="A24" s="5" t="s">
        <v>108</v>
      </c>
      <c r="B24" s="8">
        <v>2.168517E9</v>
      </c>
      <c r="C24" s="8">
        <v>4.68835E8</v>
      </c>
      <c r="D24" s="8">
        <v>5.1438E8</v>
      </c>
      <c r="E24" s="8">
        <v>6.59135E8</v>
      </c>
      <c r="F24" s="8">
        <v>5.26167E8</v>
      </c>
      <c r="G24" s="8">
        <v>6.7803E8</v>
      </c>
      <c r="H24" s="8">
        <v>5.52657E8</v>
      </c>
      <c r="I24" s="8">
        <v>5.97433E8</v>
      </c>
      <c r="J24" s="8">
        <v>4.87031E8</v>
      </c>
      <c r="K24" s="8">
        <v>6.37019E8</v>
      </c>
      <c r="L24" s="8">
        <v>6.77749E8</v>
      </c>
      <c r="M24" s="8">
        <v>6.42743E8</v>
      </c>
      <c r="N24" s="8">
        <v>5.7426E8</v>
      </c>
      <c r="O24" s="8">
        <v>7.87601E8</v>
      </c>
      <c r="P24" s="8">
        <v>6.50446E8</v>
      </c>
      <c r="Q24" s="8">
        <v>5.35437E8</v>
      </c>
      <c r="R24" s="8">
        <v>3.6555E8</v>
      </c>
      <c r="S24" s="8">
        <v>4.26555E8</v>
      </c>
      <c r="T24" s="8">
        <v>3.85013E8</v>
      </c>
      <c r="U24" s="8">
        <v>4.83241E8</v>
      </c>
      <c r="V24" s="8">
        <v>3.34142E8</v>
      </c>
      <c r="W24" s="8">
        <v>4.07237E8</v>
      </c>
      <c r="X24" s="8">
        <v>3.64852E8</v>
      </c>
      <c r="Y24" s="8">
        <v>7.12155E8</v>
      </c>
      <c r="Z24" s="8">
        <v>2.52533E8</v>
      </c>
      <c r="AA24" s="8">
        <v>2.94783E8</v>
      </c>
      <c r="AB24" s="8">
        <v>2.79489E8</v>
      </c>
      <c r="AC24" s="8">
        <v>4.14176E8</v>
      </c>
      <c r="AD24" s="8">
        <v>2.35315E8</v>
      </c>
      <c r="AE24" s="8">
        <v>3.06518E8</v>
      </c>
      <c r="AF24" s="8">
        <v>2.95124E8</v>
      </c>
      <c r="AG24" s="8">
        <v>3.76175E8</v>
      </c>
      <c r="AH24" s="8">
        <v>2.53321E8</v>
      </c>
      <c r="AI24" s="8">
        <v>2.82349E8</v>
      </c>
      <c r="AJ24" s="8">
        <v>2.53235E8</v>
      </c>
      <c r="AK24" s="8">
        <v>3.55371E8</v>
      </c>
      <c r="AL24" s="8">
        <v>2.36316E8</v>
      </c>
      <c r="AM24" s="8">
        <v>2.5126E8</v>
      </c>
      <c r="AN24" s="8">
        <v>2.22398E8</v>
      </c>
      <c r="AO24" s="8">
        <v>3.22173E8</v>
      </c>
      <c r="AP24" s="8">
        <v>2.37385E8</v>
      </c>
      <c r="AQ24" s="8">
        <v>2.45475E8</v>
      </c>
      <c r="AR24" s="8">
        <v>2.20083E8</v>
      </c>
      <c r="AS24" s="8">
        <v>3.17422E8</v>
      </c>
      <c r="AT24" s="8">
        <v>2.07685E8</v>
      </c>
      <c r="AU24" s="8">
        <v>2.1414E8</v>
      </c>
      <c r="AV24" s="8">
        <v>2.13415E8</v>
      </c>
      <c r="AW24" s="8">
        <v>2.9251E8</v>
      </c>
      <c r="AX24" s="8">
        <v>1.71164E8</v>
      </c>
      <c r="AY24" s="8">
        <v>1.46042E8</v>
      </c>
      <c r="AZ24" s="8">
        <v>1.56969E8</v>
      </c>
      <c r="BA24" s="8">
        <v>2.22546E8</v>
      </c>
      <c r="BB24" s="8">
        <v>1.2812E8</v>
      </c>
      <c r="BC24" s="8">
        <v>1.41195E8</v>
      </c>
      <c r="BD24" s="8">
        <v>1.35996E8</v>
      </c>
      <c r="BE24" s="8">
        <v>8.7197E7</v>
      </c>
      <c r="BF24" s="8">
        <v>7.5649E7</v>
      </c>
      <c r="BG24" s="8">
        <v>9.359E7</v>
      </c>
      <c r="BH24" s="8">
        <v>8.3006E7</v>
      </c>
      <c r="BI24" s="8">
        <v>8.1854E7</v>
      </c>
      <c r="BJ24" s="8">
        <v>-7306000.0</v>
      </c>
      <c r="BK24" s="8">
        <v>2.7718E7</v>
      </c>
      <c r="BL24" s="8">
        <v>5916000.0</v>
      </c>
      <c r="BM24" s="8">
        <v>5.5389E7</v>
      </c>
      <c r="BN24" s="8">
        <v>-3.3032E7</v>
      </c>
      <c r="BO24" s="8">
        <v>-6.8818E7</v>
      </c>
      <c r="BP24" s="8">
        <v>3.4875E7</v>
      </c>
      <c r="BQ24" s="8">
        <v>5.009E7</v>
      </c>
      <c r="BR24" s="8">
        <v>-5285000.0</v>
      </c>
      <c r="BS24" s="8">
        <v>4.5468E7</v>
      </c>
      <c r="BT24" s="8">
        <v>4.767E7</v>
      </c>
      <c r="BU24" s="8">
        <v>1.45272E8</v>
      </c>
      <c r="BV24" s="8">
        <v>6.4425E7</v>
      </c>
      <c r="BW24" s="8">
        <v>7.5558E7</v>
      </c>
      <c r="BX24" s="8">
        <v>6.49E7</v>
      </c>
      <c r="BY24" s="8">
        <v>1.33893E8</v>
      </c>
      <c r="BZ24" s="8">
        <v>7.1126E7</v>
      </c>
      <c r="CA24" s="8">
        <v>7.1322E7</v>
      </c>
      <c r="CB24" s="8">
        <v>6.7849E7</v>
      </c>
      <c r="CC24" s="8">
        <v>1.02829E8</v>
      </c>
      <c r="CD24" s="8">
        <v>7.7903E7</v>
      </c>
      <c r="CE24" s="8">
        <v>5.9936E7</v>
      </c>
      <c r="CF24" s="8">
        <v>6.0332E7</v>
      </c>
      <c r="CG24" s="8">
        <v>1.08086E8</v>
      </c>
      <c r="CH24" s="8">
        <v>6.857E7</v>
      </c>
      <c r="CI24" s="8">
        <v>4.2362E7</v>
      </c>
      <c r="CJ24" s="8">
        <v>4.5928E7</v>
      </c>
      <c r="CK24" s="8">
        <v>9.7443E7</v>
      </c>
      <c r="CL24" s="8">
        <v>4.6737E7</v>
      </c>
      <c r="CM24" s="8">
        <v>2.71E7</v>
      </c>
      <c r="CN24" s="8">
        <v>3.6233E7</v>
      </c>
      <c r="CO24" s="8">
        <v>-6.3998E7</v>
      </c>
      <c r="CP24" s="8">
        <v>5.099E7</v>
      </c>
      <c r="CQ24" s="8">
        <v>3.931E7</v>
      </c>
      <c r="CR24" s="8">
        <v>4.434E7</v>
      </c>
      <c r="CS24" s="8">
        <v>9.0627E7</v>
      </c>
      <c r="CT24" s="8">
        <v>5.09E7</v>
      </c>
      <c r="CU24" s="8">
        <v>4.16E7</v>
      </c>
      <c r="CV24" s="8">
        <v>3.63E7</v>
      </c>
      <c r="CW24" s="8">
        <v>7.8033E7</v>
      </c>
      <c r="CX24" s="8">
        <v>4.03E7</v>
      </c>
      <c r="CY24" s="8">
        <v>3.33E7</v>
      </c>
      <c r="CZ24" s="8">
        <v>3.04E7</v>
      </c>
      <c r="DA24" s="8">
        <v>6.5028E7</v>
      </c>
      <c r="DB24" s="8">
        <v>3.36E7</v>
      </c>
      <c r="DC24" s="8">
        <v>2.67E7</v>
      </c>
      <c r="DD24" s="8">
        <v>1.93E7</v>
      </c>
      <c r="DE24" s="8">
        <v>5.15E7</v>
      </c>
      <c r="DF24" s="8">
        <v>2.66E7</v>
      </c>
      <c r="DG24" s="8">
        <v>2.19E7</v>
      </c>
      <c r="DH24" s="8">
        <v>1.5E7</v>
      </c>
      <c r="DI24" s="8">
        <v>3.8518E7</v>
      </c>
      <c r="DJ24" s="8">
        <v>2.0E7</v>
      </c>
      <c r="DK24" s="8">
        <v>1.77E7</v>
      </c>
      <c r="DL24" s="8">
        <v>1.16E7</v>
      </c>
      <c r="DM24" s="8">
        <v>3.2834E7</v>
      </c>
      <c r="DN24" s="8">
        <v>1.73E7</v>
      </c>
      <c r="DO24" s="8">
        <v>1.4E7</v>
      </c>
      <c r="DP24" s="8">
        <v>9500000.0</v>
      </c>
      <c r="DQ24" s="8">
        <v>2.21E7</v>
      </c>
      <c r="DR24" s="8">
        <v>1.1E7</v>
      </c>
      <c r="DS24" s="8">
        <v>9600000.0</v>
      </c>
      <c r="DT24" s="8">
        <v>5900000.0</v>
      </c>
      <c r="DU24" s="8">
        <v>1.68E7</v>
      </c>
      <c r="DV24" s="8">
        <v>8300000.0</v>
      </c>
      <c r="DW24" s="8">
        <v>6700000.0</v>
      </c>
      <c r="DX24" s="8">
        <v>3900000.0</v>
      </c>
      <c r="DY24" s="8">
        <v>1.23E7</v>
      </c>
      <c r="DZ24" s="8">
        <v>4300000.0</v>
      </c>
      <c r="EA24" s="8">
        <v>3800000.0</v>
      </c>
      <c r="EB24" s="8">
        <v>1200000.0</v>
      </c>
      <c r="EC24" s="8">
        <v>8900000.0</v>
      </c>
      <c r="ED24" s="8">
        <v>2800000.0</v>
      </c>
      <c r="EE24" s="8">
        <v>2500000.0</v>
      </c>
      <c r="EF24" s="8">
        <v>400000.0</v>
      </c>
      <c r="EG24" s="8">
        <v>7300000.0</v>
      </c>
      <c r="EH24" s="8">
        <v>2800000.0</v>
      </c>
      <c r="EI24" s="8">
        <v>2800000.0</v>
      </c>
      <c r="EJ24" s="8">
        <v>-400000.0</v>
      </c>
      <c r="EK24" s="8">
        <v>6200000.0</v>
      </c>
      <c r="EL24" s="8">
        <v>2500000.0</v>
      </c>
      <c r="EM24" s="8">
        <v>2400000.0</v>
      </c>
      <c r="EN24" s="8">
        <v>-800000.0</v>
      </c>
      <c r="EO24" s="8">
        <v>5300000.0</v>
      </c>
      <c r="EP24" s="8">
        <v>700000.0</v>
      </c>
      <c r="EQ24" s="8">
        <v>2000000.0</v>
      </c>
      <c r="ER24" s="8">
        <v>-1500000.0</v>
      </c>
      <c r="ES24" s="8">
        <v>2500000.0</v>
      </c>
      <c r="ET24" s="8">
        <v>1100000.0</v>
      </c>
      <c r="EU24" s="8">
        <v>2400000.0</v>
      </c>
      <c r="EV24" s="8">
        <v>-1700000.0</v>
      </c>
      <c r="EW24" s="8">
        <v>7600000.0</v>
      </c>
      <c r="EX24" s="8">
        <v>4100000.0</v>
      </c>
      <c r="EY24" s="5"/>
      <c r="EZ24" s="5"/>
    </row>
    <row r="25">
      <c r="A25" s="5" t="s">
        <v>109</v>
      </c>
      <c r="B25" s="8">
        <v>2.168517E9</v>
      </c>
      <c r="C25" s="8">
        <v>4.68835E8</v>
      </c>
      <c r="D25" s="8">
        <v>5.1438E8</v>
      </c>
      <c r="E25" s="8">
        <v>6.59135E8</v>
      </c>
      <c r="F25" s="8">
        <v>5.26167E8</v>
      </c>
      <c r="G25" s="8">
        <v>6.7803E8</v>
      </c>
      <c r="H25" s="8">
        <v>5.52657E8</v>
      </c>
      <c r="I25" s="8">
        <v>5.97433E8</v>
      </c>
      <c r="J25" s="8">
        <v>4.87031E8</v>
      </c>
      <c r="K25" s="8">
        <v>6.37019E8</v>
      </c>
      <c r="L25" s="8">
        <v>6.77749E8</v>
      </c>
      <c r="M25" s="8">
        <v>6.42743E8</v>
      </c>
      <c r="N25" s="8">
        <v>5.7426E8</v>
      </c>
      <c r="O25" s="8">
        <v>7.87601E8</v>
      </c>
      <c r="P25" s="8">
        <v>6.50446E8</v>
      </c>
      <c r="Q25" s="8">
        <v>5.35437E8</v>
      </c>
      <c r="R25" s="8">
        <v>3.6555E8</v>
      </c>
      <c r="S25" s="8">
        <v>4.26555E8</v>
      </c>
      <c r="T25" s="8">
        <v>3.85013E8</v>
      </c>
      <c r="U25" s="8">
        <v>4.83241E8</v>
      </c>
      <c r="V25" s="8">
        <v>3.34142E8</v>
      </c>
      <c r="W25" s="8">
        <v>4.07237E8</v>
      </c>
      <c r="X25" s="8">
        <v>3.64852E8</v>
      </c>
      <c r="Y25" s="8">
        <v>7.12155E8</v>
      </c>
      <c r="Z25" s="8">
        <v>2.52533E8</v>
      </c>
      <c r="AA25" s="8">
        <v>2.94783E8</v>
      </c>
      <c r="AB25" s="8">
        <v>2.79489E8</v>
      </c>
      <c r="AC25" s="8">
        <v>4.14176E8</v>
      </c>
      <c r="AD25" s="8">
        <v>2.35315E8</v>
      </c>
      <c r="AE25" s="8">
        <v>3.06518E8</v>
      </c>
      <c r="AF25" s="8">
        <v>2.95124E8</v>
      </c>
      <c r="AG25" s="8">
        <v>3.76175E8</v>
      </c>
      <c r="AH25" s="8">
        <v>2.53321E8</v>
      </c>
      <c r="AI25" s="8">
        <v>2.82349E8</v>
      </c>
      <c r="AJ25" s="8">
        <v>2.53235E8</v>
      </c>
      <c r="AK25" s="8">
        <v>3.55371E8</v>
      </c>
      <c r="AL25" s="8">
        <v>2.36316E8</v>
      </c>
      <c r="AM25" s="8">
        <v>2.5126E8</v>
      </c>
      <c r="AN25" s="8">
        <v>2.22398E8</v>
      </c>
      <c r="AO25" s="8">
        <v>3.22173E8</v>
      </c>
      <c r="AP25" s="8">
        <v>2.37385E8</v>
      </c>
      <c r="AQ25" s="8">
        <v>2.45475E8</v>
      </c>
      <c r="AR25" s="8">
        <v>2.20083E8</v>
      </c>
      <c r="AS25" s="8">
        <v>3.17422E8</v>
      </c>
      <c r="AT25" s="8">
        <v>2.07685E8</v>
      </c>
      <c r="AU25" s="8">
        <v>2.1414E8</v>
      </c>
      <c r="AV25" s="8">
        <v>2.13415E8</v>
      </c>
      <c r="AW25" s="8">
        <v>2.9251E8</v>
      </c>
      <c r="AX25" s="8">
        <v>1.71164E8</v>
      </c>
      <c r="AY25" s="8">
        <v>1.46042E8</v>
      </c>
      <c r="AZ25" s="8">
        <v>1.56969E8</v>
      </c>
      <c r="BA25" s="8">
        <v>2.22546E8</v>
      </c>
      <c r="BB25" s="8">
        <v>1.2812E8</v>
      </c>
      <c r="BC25" s="8">
        <v>1.41195E8</v>
      </c>
      <c r="BD25" s="8">
        <v>1.35996E8</v>
      </c>
      <c r="BE25" s="8">
        <v>8.7197E7</v>
      </c>
      <c r="BF25" s="8">
        <v>7.5649E7</v>
      </c>
      <c r="BG25" s="8">
        <v>9.359E7</v>
      </c>
      <c r="BH25" s="8">
        <v>8.3006E7</v>
      </c>
      <c r="BI25" s="8">
        <v>8.1854E7</v>
      </c>
      <c r="BJ25" s="8">
        <v>-7306000.0</v>
      </c>
      <c r="BK25" s="8">
        <v>2.7718E7</v>
      </c>
      <c r="BL25" s="8">
        <v>5916000.0</v>
      </c>
      <c r="BM25" s="8">
        <v>5.5389E7</v>
      </c>
      <c r="BN25" s="8">
        <v>-3.3032E7</v>
      </c>
      <c r="BO25" s="8">
        <v>-6.8818E7</v>
      </c>
      <c r="BP25" s="8">
        <v>3.4875E7</v>
      </c>
      <c r="BQ25" s="8">
        <v>5.009E7</v>
      </c>
      <c r="BR25" s="8">
        <v>-5285000.0</v>
      </c>
      <c r="BS25" s="8">
        <v>4.5468E7</v>
      </c>
      <c r="BT25" s="8">
        <v>4.767E7</v>
      </c>
      <c r="BU25" s="8">
        <v>1.45272E8</v>
      </c>
      <c r="BV25" s="8">
        <v>6.4425E7</v>
      </c>
      <c r="BW25" s="8">
        <v>7.5558E7</v>
      </c>
      <c r="BX25" s="8">
        <v>6.49E7</v>
      </c>
      <c r="BY25" s="8">
        <v>1.33893E8</v>
      </c>
      <c r="BZ25" s="8">
        <v>7.1126E7</v>
      </c>
      <c r="CA25" s="8">
        <v>7.1322E7</v>
      </c>
      <c r="CB25" s="8">
        <v>6.7849E7</v>
      </c>
      <c r="CC25" s="8">
        <v>1.02829E8</v>
      </c>
      <c r="CD25" s="8">
        <v>7.7903E7</v>
      </c>
      <c r="CE25" s="8">
        <v>5.9936E7</v>
      </c>
      <c r="CF25" s="8">
        <v>6.0332E7</v>
      </c>
      <c r="CG25" s="8">
        <v>1.08086E8</v>
      </c>
      <c r="CH25" s="8">
        <v>6.857E7</v>
      </c>
      <c r="CI25" s="8">
        <v>4.2362E7</v>
      </c>
      <c r="CJ25" s="8">
        <v>4.5928E7</v>
      </c>
      <c r="CK25" s="8">
        <v>9.7443E7</v>
      </c>
      <c r="CL25" s="8">
        <v>4.6737E7</v>
      </c>
      <c r="CM25" s="8">
        <v>2.71E7</v>
      </c>
      <c r="CN25" s="8">
        <v>3.6233E7</v>
      </c>
      <c r="CO25" s="8">
        <v>-6.3998E7</v>
      </c>
      <c r="CP25" s="8">
        <v>5.099E7</v>
      </c>
      <c r="CQ25" s="8">
        <v>3.931E7</v>
      </c>
      <c r="CR25" s="8">
        <v>4.434E7</v>
      </c>
      <c r="CS25" s="8">
        <v>9.0627E7</v>
      </c>
      <c r="CT25" s="8">
        <v>5.09E7</v>
      </c>
      <c r="CU25" s="8">
        <v>4.16E7</v>
      </c>
      <c r="CV25" s="8">
        <v>3.63E7</v>
      </c>
      <c r="CW25" s="8">
        <v>7.8033E7</v>
      </c>
      <c r="CX25" s="8">
        <v>4.03E7</v>
      </c>
      <c r="CY25" s="8">
        <v>3.33E7</v>
      </c>
      <c r="CZ25" s="8">
        <v>3.04E7</v>
      </c>
      <c r="DA25" s="8">
        <v>6.5028E7</v>
      </c>
      <c r="DB25" s="8">
        <v>3.36E7</v>
      </c>
      <c r="DC25" s="8">
        <v>2.67E7</v>
      </c>
      <c r="DD25" s="8">
        <v>1.93E7</v>
      </c>
      <c r="DE25" s="8">
        <v>5.15E7</v>
      </c>
      <c r="DF25" s="8">
        <v>2.66E7</v>
      </c>
      <c r="DG25" s="8">
        <v>2.19E7</v>
      </c>
      <c r="DH25" s="8">
        <v>1.5E7</v>
      </c>
      <c r="DI25" s="8">
        <v>3.8518E7</v>
      </c>
      <c r="DJ25" s="8">
        <v>2.0E7</v>
      </c>
      <c r="DK25" s="8">
        <v>1.77E7</v>
      </c>
      <c r="DL25" s="8">
        <v>1.16E7</v>
      </c>
      <c r="DM25" s="8">
        <v>3.2834E7</v>
      </c>
      <c r="DN25" s="8">
        <v>1.73E7</v>
      </c>
      <c r="DO25" s="8">
        <v>1.4E7</v>
      </c>
      <c r="DP25" s="8">
        <v>9500000.0</v>
      </c>
      <c r="DQ25" s="8">
        <v>2.21E7</v>
      </c>
      <c r="DR25" s="8">
        <v>1.1E7</v>
      </c>
      <c r="DS25" s="8">
        <v>9600000.0</v>
      </c>
      <c r="DT25" s="8">
        <v>5900000.0</v>
      </c>
      <c r="DU25" s="8">
        <v>1.68E7</v>
      </c>
      <c r="DV25" s="8">
        <v>8300000.0</v>
      </c>
      <c r="DW25" s="8">
        <v>6700000.0</v>
      </c>
      <c r="DX25" s="8">
        <v>3900000.0</v>
      </c>
      <c r="DY25" s="8">
        <v>1.23E7</v>
      </c>
      <c r="DZ25" s="8">
        <v>4300000.0</v>
      </c>
      <c r="EA25" s="8">
        <v>3800000.0</v>
      </c>
      <c r="EB25" s="8">
        <v>1200000.0</v>
      </c>
      <c r="EC25" s="8">
        <v>8900000.0</v>
      </c>
      <c r="ED25" s="8">
        <v>2800000.0</v>
      </c>
      <c r="EE25" s="8">
        <v>2500000.0</v>
      </c>
      <c r="EF25" s="8">
        <v>400000.0</v>
      </c>
      <c r="EG25" s="8">
        <v>7300000.0</v>
      </c>
      <c r="EH25" s="8">
        <v>2800000.0</v>
      </c>
      <c r="EI25" s="8">
        <v>2800000.0</v>
      </c>
      <c r="EJ25" s="8">
        <v>-400000.0</v>
      </c>
      <c r="EK25" s="8">
        <v>6200000.0</v>
      </c>
      <c r="EL25" s="8">
        <v>2500000.0</v>
      </c>
      <c r="EM25" s="8">
        <v>2400000.0</v>
      </c>
      <c r="EN25" s="8">
        <v>-800000.0</v>
      </c>
      <c r="EO25" s="8">
        <v>5300000.0</v>
      </c>
      <c r="EP25" s="8">
        <v>700000.0</v>
      </c>
      <c r="EQ25" s="8">
        <v>2000000.0</v>
      </c>
      <c r="ER25" s="8">
        <v>-1500000.0</v>
      </c>
      <c r="ES25" s="8">
        <v>2500000.0</v>
      </c>
      <c r="ET25" s="8">
        <v>1100000.0</v>
      </c>
      <c r="EU25" s="8">
        <v>2400000.0</v>
      </c>
      <c r="EV25" s="8">
        <v>-1700000.0</v>
      </c>
      <c r="EW25" s="8">
        <v>7600000.0</v>
      </c>
      <c r="EX25" s="8">
        <v>4100000.0</v>
      </c>
      <c r="EY25" s="5"/>
      <c r="EZ25" s="5"/>
    </row>
    <row r="26">
      <c r="A26" s="9" t="s">
        <v>110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8">
        <v>1178000.0</v>
      </c>
      <c r="CW26" s="5"/>
      <c r="CX26" s="8">
        <v>900000.0</v>
      </c>
      <c r="CY26" s="8">
        <v>1000000.0</v>
      </c>
      <c r="CZ26" s="8">
        <v>1000000.0</v>
      </c>
      <c r="DA26" s="5"/>
      <c r="DB26" s="5"/>
      <c r="DC26" s="8">
        <v>800000.0</v>
      </c>
      <c r="DD26" s="8">
        <v>800000.0</v>
      </c>
      <c r="DE26" s="5"/>
      <c r="DF26" s="5"/>
      <c r="DG26" s="5"/>
      <c r="DH26" s="8">
        <v>600000.0</v>
      </c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</row>
    <row r="27">
      <c r="A27" s="5" t="s">
        <v>111</v>
      </c>
      <c r="B27" s="8">
        <v>2.168517E9</v>
      </c>
      <c r="C27" s="8">
        <v>4.68835E8</v>
      </c>
      <c r="D27" s="8">
        <v>5.1438E8</v>
      </c>
      <c r="E27" s="8">
        <v>6.59135E8</v>
      </c>
      <c r="F27" s="8">
        <v>5.26167E8</v>
      </c>
      <c r="G27" s="8">
        <v>6.7803E8</v>
      </c>
      <c r="H27" s="8">
        <v>5.52657E8</v>
      </c>
      <c r="I27" s="8">
        <v>5.97433E8</v>
      </c>
      <c r="J27" s="8">
        <v>4.87031E8</v>
      </c>
      <c r="K27" s="8">
        <v>6.37019E8</v>
      </c>
      <c r="L27" s="8">
        <v>6.77749E8</v>
      </c>
      <c r="M27" s="8">
        <v>6.42743E8</v>
      </c>
      <c r="N27" s="8">
        <v>5.7426E8</v>
      </c>
      <c r="O27" s="8">
        <v>7.87601E8</v>
      </c>
      <c r="P27" s="8">
        <v>6.50446E8</v>
      </c>
      <c r="Q27" s="8">
        <v>5.35437E8</v>
      </c>
      <c r="R27" s="8">
        <v>3.6555E8</v>
      </c>
      <c r="S27" s="8">
        <v>4.26555E8</v>
      </c>
      <c r="T27" s="8">
        <v>3.85013E8</v>
      </c>
      <c r="U27" s="8">
        <v>4.83241E8</v>
      </c>
      <c r="V27" s="8">
        <v>3.34142E8</v>
      </c>
      <c r="W27" s="8">
        <v>4.07237E8</v>
      </c>
      <c r="X27" s="8">
        <v>3.64852E8</v>
      </c>
      <c r="Y27" s="8">
        <v>7.12155E8</v>
      </c>
      <c r="Z27" s="8">
        <v>2.52533E8</v>
      </c>
      <c r="AA27" s="8">
        <v>2.94783E8</v>
      </c>
      <c r="AB27" s="8">
        <v>2.79489E8</v>
      </c>
      <c r="AC27" s="8">
        <v>4.14176E8</v>
      </c>
      <c r="AD27" s="8">
        <v>2.35315E8</v>
      </c>
      <c r="AE27" s="8">
        <v>3.06518E8</v>
      </c>
      <c r="AF27" s="8">
        <v>2.95124E8</v>
      </c>
      <c r="AG27" s="8">
        <v>3.76175E8</v>
      </c>
      <c r="AH27" s="8">
        <v>2.53321E8</v>
      </c>
      <c r="AI27" s="8">
        <v>2.82349E8</v>
      </c>
      <c r="AJ27" s="8">
        <v>2.53235E8</v>
      </c>
      <c r="AK27" s="8">
        <v>3.55371E8</v>
      </c>
      <c r="AL27" s="8">
        <v>2.36316E8</v>
      </c>
      <c r="AM27" s="8">
        <v>2.5126E8</v>
      </c>
      <c r="AN27" s="8">
        <v>2.22398E8</v>
      </c>
      <c r="AO27" s="8">
        <v>3.22173E8</v>
      </c>
      <c r="AP27" s="8">
        <v>2.37385E8</v>
      </c>
      <c r="AQ27" s="8">
        <v>2.45475E8</v>
      </c>
      <c r="AR27" s="8">
        <v>2.20083E8</v>
      </c>
      <c r="AS27" s="8">
        <v>3.17422E8</v>
      </c>
      <c r="AT27" s="8">
        <v>2.07685E8</v>
      </c>
      <c r="AU27" s="8">
        <v>2.1414E8</v>
      </c>
      <c r="AV27" s="8">
        <v>2.13415E8</v>
      </c>
      <c r="AW27" s="8">
        <v>2.9251E8</v>
      </c>
      <c r="AX27" s="8">
        <v>1.71164E8</v>
      </c>
      <c r="AY27" s="8">
        <v>1.46042E8</v>
      </c>
      <c r="AZ27" s="8">
        <v>1.56969E8</v>
      </c>
      <c r="BA27" s="8">
        <v>2.22546E8</v>
      </c>
      <c r="BB27" s="8">
        <v>1.2812E8</v>
      </c>
      <c r="BC27" s="8">
        <v>1.41195E8</v>
      </c>
      <c r="BD27" s="8">
        <v>1.35996E8</v>
      </c>
      <c r="BE27" s="8">
        <v>8.7197E7</v>
      </c>
      <c r="BF27" s="8">
        <v>7.5649E7</v>
      </c>
      <c r="BG27" s="8">
        <v>9.359E7</v>
      </c>
      <c r="BH27" s="8">
        <v>8.3006E7</v>
      </c>
      <c r="BI27" s="8">
        <v>8.1854E7</v>
      </c>
      <c r="BJ27" s="8">
        <v>-7306000.0</v>
      </c>
      <c r="BK27" s="8">
        <v>2.7718E7</v>
      </c>
      <c r="BL27" s="8">
        <v>5916000.0</v>
      </c>
      <c r="BM27" s="8">
        <v>5.5389E7</v>
      </c>
      <c r="BN27" s="8">
        <v>-3.3032E7</v>
      </c>
      <c r="BO27" s="8">
        <v>-6.8818E7</v>
      </c>
      <c r="BP27" s="8">
        <v>3.4875E7</v>
      </c>
      <c r="BQ27" s="8">
        <v>5.009E7</v>
      </c>
      <c r="BR27" s="8">
        <v>-5285000.0</v>
      </c>
      <c r="BS27" s="8">
        <v>4.5468E7</v>
      </c>
      <c r="BT27" s="8">
        <v>4.767E7</v>
      </c>
      <c r="BU27" s="8">
        <v>1.45272E8</v>
      </c>
      <c r="BV27" s="8">
        <v>6.4425E7</v>
      </c>
      <c r="BW27" s="8">
        <v>7.5558E7</v>
      </c>
      <c r="BX27" s="8">
        <v>6.49E7</v>
      </c>
      <c r="BY27" s="8">
        <v>1.33893E8</v>
      </c>
      <c r="BZ27" s="8">
        <v>7.1126E7</v>
      </c>
      <c r="CA27" s="8">
        <v>7.1322E7</v>
      </c>
      <c r="CB27" s="8">
        <v>6.7849E7</v>
      </c>
      <c r="CC27" s="8">
        <v>1.02829E8</v>
      </c>
      <c r="CD27" s="8">
        <v>7.7903E7</v>
      </c>
      <c r="CE27" s="8">
        <v>5.9936E7</v>
      </c>
      <c r="CF27" s="8">
        <v>6.0332E7</v>
      </c>
      <c r="CG27" s="8">
        <v>1.08086E8</v>
      </c>
      <c r="CH27" s="8">
        <v>6.857E7</v>
      </c>
      <c r="CI27" s="8">
        <v>4.2362E7</v>
      </c>
      <c r="CJ27" s="8">
        <v>4.5928E7</v>
      </c>
      <c r="CK27" s="8">
        <v>9.7443E7</v>
      </c>
      <c r="CL27" s="8">
        <v>4.6737E7</v>
      </c>
      <c r="CM27" s="8">
        <v>2.71E7</v>
      </c>
      <c r="CN27" s="8">
        <v>3.6233E7</v>
      </c>
      <c r="CO27" s="8">
        <v>-6.3998E7</v>
      </c>
      <c r="CP27" s="8">
        <v>5.099E7</v>
      </c>
      <c r="CQ27" s="8">
        <v>3.931E7</v>
      </c>
      <c r="CR27" s="8">
        <v>4.434E7</v>
      </c>
      <c r="CS27" s="8">
        <v>9.1805E7</v>
      </c>
      <c r="CT27" s="8">
        <v>5.09E7</v>
      </c>
      <c r="CU27" s="8">
        <v>4.16E7</v>
      </c>
      <c r="CV27" s="8">
        <v>3.5122E7</v>
      </c>
      <c r="CW27" s="8">
        <v>8.0633E7</v>
      </c>
      <c r="CX27" s="8">
        <v>3.94E7</v>
      </c>
      <c r="CY27" s="8">
        <v>3.23E7</v>
      </c>
      <c r="CZ27" s="8">
        <v>2.94E7</v>
      </c>
      <c r="DA27" s="8">
        <v>6.7428E7</v>
      </c>
      <c r="DB27" s="8">
        <v>3.36E7</v>
      </c>
      <c r="DC27" s="8">
        <v>2.59E7</v>
      </c>
      <c r="DD27" s="8">
        <v>1.85E7</v>
      </c>
      <c r="DE27" s="8">
        <v>5.15E7</v>
      </c>
      <c r="DF27" s="8">
        <v>2.66E7</v>
      </c>
      <c r="DG27" s="8">
        <v>2.19E7</v>
      </c>
      <c r="DH27" s="8">
        <v>1.44E7</v>
      </c>
      <c r="DI27" s="8">
        <v>3.8518E7</v>
      </c>
      <c r="DJ27" s="8">
        <v>2.0E7</v>
      </c>
      <c r="DK27" s="8">
        <v>1.77E7</v>
      </c>
      <c r="DL27" s="8">
        <v>1.16E7</v>
      </c>
      <c r="DM27" s="8">
        <v>3.2834E7</v>
      </c>
      <c r="DN27" s="8">
        <v>1.73E7</v>
      </c>
      <c r="DO27" s="8">
        <v>1.4E7</v>
      </c>
      <c r="DP27" s="8">
        <v>9500000.0</v>
      </c>
      <c r="DQ27" s="8">
        <v>2.21E7</v>
      </c>
      <c r="DR27" s="8">
        <v>1.1E7</v>
      </c>
      <c r="DS27" s="8">
        <v>9600000.0</v>
      </c>
      <c r="DT27" s="8">
        <v>5900000.0</v>
      </c>
      <c r="DU27" s="8">
        <v>1.68E7</v>
      </c>
      <c r="DV27" s="8">
        <v>8300000.0</v>
      </c>
      <c r="DW27" s="8">
        <v>6700000.0</v>
      </c>
      <c r="DX27" s="8">
        <v>3900000.0</v>
      </c>
      <c r="DY27" s="8">
        <v>1.23E7</v>
      </c>
      <c r="DZ27" s="8">
        <v>4300000.0</v>
      </c>
      <c r="EA27" s="8">
        <v>3800000.0</v>
      </c>
      <c r="EB27" s="8">
        <v>1200000.0</v>
      </c>
      <c r="EC27" s="8">
        <v>8900000.0</v>
      </c>
      <c r="ED27" s="8">
        <v>2800000.0</v>
      </c>
      <c r="EE27" s="8">
        <v>2500000.0</v>
      </c>
      <c r="EF27" s="8">
        <v>400000.0</v>
      </c>
      <c r="EG27" s="8">
        <v>7300000.0</v>
      </c>
      <c r="EH27" s="8">
        <v>2800000.0</v>
      </c>
      <c r="EI27" s="8">
        <v>2800000.0</v>
      </c>
      <c r="EJ27" s="8">
        <v>-400000.0</v>
      </c>
      <c r="EK27" s="8">
        <v>6200000.0</v>
      </c>
      <c r="EL27" s="8">
        <v>2500000.0</v>
      </c>
      <c r="EM27" s="8">
        <v>2400000.0</v>
      </c>
      <c r="EN27" s="8">
        <v>-800000.0</v>
      </c>
      <c r="EO27" s="8">
        <v>5300000.0</v>
      </c>
      <c r="EP27" s="8">
        <v>700000.0</v>
      </c>
      <c r="EQ27" s="8">
        <v>2000000.0</v>
      </c>
      <c r="ER27" s="8">
        <v>-1500000.0</v>
      </c>
      <c r="ES27" s="8">
        <v>2500000.0</v>
      </c>
      <c r="ET27" s="8">
        <v>1100000.0</v>
      </c>
      <c r="EU27" s="8">
        <v>2400000.0</v>
      </c>
      <c r="EV27" s="8">
        <v>-1700000.0</v>
      </c>
      <c r="EW27" s="8">
        <v>7600000.0</v>
      </c>
      <c r="EX27" s="8">
        <v>4100000.0</v>
      </c>
      <c r="EY27" s="5"/>
      <c r="EZ27" s="5"/>
    </row>
    <row r="28">
      <c r="A28" s="5" t="s">
        <v>112</v>
      </c>
      <c r="B28" s="5"/>
      <c r="C28" s="10">
        <v>2.14</v>
      </c>
      <c r="D28" s="10">
        <v>2.35</v>
      </c>
      <c r="E28" s="10">
        <v>2.97</v>
      </c>
      <c r="F28" s="10">
        <v>2.34</v>
      </c>
      <c r="G28" s="10">
        <v>3.0</v>
      </c>
      <c r="H28" s="10">
        <v>2.42</v>
      </c>
      <c r="I28" s="10">
        <v>2.59</v>
      </c>
      <c r="J28" s="10">
        <v>2.09</v>
      </c>
      <c r="K28" s="10">
        <v>2.71</v>
      </c>
      <c r="L28" s="10">
        <v>2.84</v>
      </c>
      <c r="M28" s="10">
        <v>2.64</v>
      </c>
      <c r="N28" s="10">
        <v>2.32</v>
      </c>
      <c r="O28" s="10">
        <v>3.15</v>
      </c>
      <c r="P28" s="10">
        <v>2.58</v>
      </c>
      <c r="Q28" s="10">
        <v>2.11</v>
      </c>
      <c r="R28" s="10">
        <v>1.43</v>
      </c>
      <c r="S28" s="10">
        <v>1.65</v>
      </c>
      <c r="T28" s="10">
        <v>1.49</v>
      </c>
      <c r="U28" s="10">
        <v>1.85</v>
      </c>
      <c r="V28" s="10">
        <v>1.26</v>
      </c>
      <c r="W28" s="10">
        <v>1.53</v>
      </c>
      <c r="X28" s="10">
        <v>1.36</v>
      </c>
      <c r="Y28" s="10">
        <v>2.63</v>
      </c>
      <c r="Z28" s="10">
        <v>0.93</v>
      </c>
      <c r="AA28" s="10">
        <v>1.08</v>
      </c>
      <c r="AB28" s="10">
        <v>1.02</v>
      </c>
      <c r="AC28" s="10">
        <v>1.5</v>
      </c>
      <c r="AD28" s="10">
        <v>0.84</v>
      </c>
      <c r="AE28" s="10">
        <v>1.08</v>
      </c>
      <c r="AF28" s="10">
        <v>1.03</v>
      </c>
      <c r="AG28" s="10">
        <v>1.3</v>
      </c>
      <c r="AH28" s="10">
        <v>0.87</v>
      </c>
      <c r="AI28" s="10">
        <v>0.95</v>
      </c>
      <c r="AJ28" s="10">
        <v>0.84</v>
      </c>
      <c r="AK28" s="10">
        <v>1.17</v>
      </c>
      <c r="AL28" s="10">
        <v>0.78</v>
      </c>
      <c r="AM28" s="10">
        <v>0.83</v>
      </c>
      <c r="AN28" s="10">
        <v>0.72</v>
      </c>
      <c r="AO28" s="10">
        <v>1.01</v>
      </c>
      <c r="AP28" s="10">
        <v>0.74</v>
      </c>
      <c r="AQ28" s="10">
        <v>0.76</v>
      </c>
      <c r="AR28" s="10">
        <v>0.67</v>
      </c>
      <c r="AS28" s="10">
        <v>0.97</v>
      </c>
      <c r="AT28" s="10">
        <v>0.62</v>
      </c>
      <c r="AU28" s="10">
        <v>0.64</v>
      </c>
      <c r="AV28" s="10">
        <v>0.64</v>
      </c>
      <c r="AW28" s="10">
        <v>0.86</v>
      </c>
      <c r="AX28" s="10">
        <v>0.5</v>
      </c>
      <c r="AY28" s="10">
        <v>0.43</v>
      </c>
      <c r="AZ28" s="10">
        <v>0.46</v>
      </c>
      <c r="BA28" s="10">
        <v>0.65</v>
      </c>
      <c r="BB28" s="10">
        <v>0.38</v>
      </c>
      <c r="BC28" s="10">
        <v>0.41</v>
      </c>
      <c r="BD28" s="10">
        <v>0.4</v>
      </c>
      <c r="BE28" s="10">
        <v>0.26</v>
      </c>
      <c r="BF28" s="10">
        <v>0.24</v>
      </c>
      <c r="BG28" s="10">
        <v>0.29</v>
      </c>
      <c r="BH28" s="10">
        <v>0.26</v>
      </c>
      <c r="BI28" s="10">
        <v>0.26</v>
      </c>
      <c r="BJ28" s="10">
        <v>-0.02</v>
      </c>
      <c r="BK28" s="10">
        <v>0.106</v>
      </c>
      <c r="BL28" s="10">
        <v>0.023</v>
      </c>
      <c r="BM28" s="10">
        <v>0.177</v>
      </c>
      <c r="BN28" s="10">
        <v>-0.105</v>
      </c>
      <c r="BO28" s="10">
        <v>-0.219</v>
      </c>
      <c r="BP28" s="10">
        <v>0.133</v>
      </c>
      <c r="BQ28" s="10">
        <v>0.16</v>
      </c>
      <c r="BR28" s="10">
        <v>-0.02</v>
      </c>
      <c r="BS28" s="10">
        <v>0.15</v>
      </c>
      <c r="BT28" s="10">
        <v>0.15</v>
      </c>
      <c r="BU28" s="10">
        <v>0.449</v>
      </c>
      <c r="BV28" s="10">
        <v>0.2</v>
      </c>
      <c r="BW28" s="10">
        <v>0.23</v>
      </c>
      <c r="BX28" s="10">
        <v>0.2</v>
      </c>
      <c r="BY28" s="10">
        <v>0.4</v>
      </c>
      <c r="BZ28" s="10">
        <v>0.22</v>
      </c>
      <c r="CA28" s="10">
        <v>0.22</v>
      </c>
      <c r="CB28" s="10">
        <v>0.2</v>
      </c>
      <c r="CC28" s="10">
        <v>0.3</v>
      </c>
      <c r="CD28" s="10">
        <v>0.23</v>
      </c>
      <c r="CE28" s="10">
        <v>0.18</v>
      </c>
      <c r="CF28" s="10">
        <v>0.18</v>
      </c>
      <c r="CG28" s="10">
        <v>0.32</v>
      </c>
      <c r="CH28" s="10">
        <v>0.21</v>
      </c>
      <c r="CI28" s="10">
        <v>0.13</v>
      </c>
      <c r="CJ28" s="10">
        <v>0.14</v>
      </c>
      <c r="CK28" s="10">
        <v>0.3</v>
      </c>
      <c r="CL28" s="10">
        <v>0.14</v>
      </c>
      <c r="CM28" s="10">
        <v>0.08</v>
      </c>
      <c r="CN28" s="10">
        <v>0.11</v>
      </c>
      <c r="CO28" s="10">
        <v>-0.1</v>
      </c>
      <c r="CP28" s="10">
        <v>0.14</v>
      </c>
      <c r="CQ28" s="10">
        <v>0.08</v>
      </c>
      <c r="CR28" s="10">
        <v>0.09</v>
      </c>
      <c r="CS28" s="10">
        <v>0.226</v>
      </c>
      <c r="CT28" s="10">
        <v>0.15</v>
      </c>
      <c r="CU28" s="10">
        <v>0.14</v>
      </c>
      <c r="CV28" s="10">
        <v>0.13</v>
      </c>
      <c r="CW28" s="10">
        <v>0.189</v>
      </c>
      <c r="CX28" s="10">
        <v>0.14</v>
      </c>
      <c r="CY28" s="10">
        <v>0.11</v>
      </c>
      <c r="CZ28" s="10">
        <v>0.11</v>
      </c>
      <c r="DA28" s="10">
        <v>0.258</v>
      </c>
      <c r="DB28" s="10">
        <v>0.1</v>
      </c>
      <c r="DC28" s="10">
        <v>0.08</v>
      </c>
      <c r="DD28" s="10">
        <v>0.06</v>
      </c>
      <c r="DE28" s="10">
        <v>0.197</v>
      </c>
      <c r="DF28" s="10">
        <v>0.08</v>
      </c>
      <c r="DG28" s="10">
        <v>0.06</v>
      </c>
      <c r="DH28" s="10">
        <v>0.05</v>
      </c>
      <c r="DI28" s="10">
        <v>0.147</v>
      </c>
      <c r="DJ28" s="10">
        <v>0.06</v>
      </c>
      <c r="DK28" s="10">
        <v>0.05</v>
      </c>
      <c r="DL28" s="10">
        <v>0.04</v>
      </c>
      <c r="DM28" s="10">
        <v>0.126</v>
      </c>
      <c r="DN28" s="10">
        <v>0.05</v>
      </c>
      <c r="DO28" s="10">
        <v>0.04</v>
      </c>
      <c r="DP28" s="10">
        <v>0.02</v>
      </c>
      <c r="DQ28" s="10">
        <v>0.07</v>
      </c>
      <c r="DR28" s="10">
        <v>0.03</v>
      </c>
      <c r="DS28" s="10">
        <v>0.03</v>
      </c>
      <c r="DT28" s="10">
        <v>0.02</v>
      </c>
      <c r="DU28" s="10">
        <v>0.05</v>
      </c>
      <c r="DV28" s="10">
        <v>0.02</v>
      </c>
      <c r="DW28" s="10">
        <v>0.02</v>
      </c>
      <c r="DX28" s="10">
        <v>0.02</v>
      </c>
      <c r="DY28" s="10">
        <v>0.04</v>
      </c>
      <c r="DZ28" s="10">
        <v>0.02</v>
      </c>
      <c r="EA28" s="10">
        <v>0.02</v>
      </c>
      <c r="EB28" s="10">
        <v>0.02</v>
      </c>
      <c r="EC28" s="10">
        <v>0.03</v>
      </c>
      <c r="ED28" s="10">
        <v>0.02</v>
      </c>
      <c r="EE28" s="10">
        <v>0.02</v>
      </c>
      <c r="EF28" s="10">
        <v>0.01</v>
      </c>
      <c r="EG28" s="10">
        <v>0.03</v>
      </c>
      <c r="EH28" s="10">
        <v>0.02</v>
      </c>
      <c r="EI28" s="10">
        <v>0.02</v>
      </c>
      <c r="EJ28" s="10">
        <v>-0.02</v>
      </c>
      <c r="EK28" s="10">
        <v>0.024</v>
      </c>
      <c r="EL28" s="10">
        <v>0.02</v>
      </c>
      <c r="EM28" s="10">
        <v>0.02</v>
      </c>
      <c r="EN28" s="10">
        <v>-0.02</v>
      </c>
      <c r="EO28" s="10">
        <v>0.02</v>
      </c>
      <c r="EP28" s="10">
        <v>0.02</v>
      </c>
      <c r="EQ28" s="10">
        <v>0.02</v>
      </c>
      <c r="ER28" s="10">
        <v>-0.02</v>
      </c>
      <c r="ES28" s="10">
        <v>0.01</v>
      </c>
      <c r="ET28" s="10">
        <v>0.02</v>
      </c>
      <c r="EU28" s="10">
        <v>0.02</v>
      </c>
      <c r="EV28" s="10">
        <v>-0.02</v>
      </c>
      <c r="EW28" s="10">
        <v>0.02</v>
      </c>
      <c r="EX28" s="10">
        <v>0.02</v>
      </c>
      <c r="EY28" s="5"/>
      <c r="EZ28" s="5"/>
    </row>
    <row r="29">
      <c r="A29" s="5" t="s">
        <v>113</v>
      </c>
      <c r="B29" s="5"/>
      <c r="C29" s="10">
        <v>2.13</v>
      </c>
      <c r="D29" s="10">
        <v>2.34</v>
      </c>
      <c r="E29" s="10">
        <v>2.96</v>
      </c>
      <c r="F29" s="10">
        <v>2.33</v>
      </c>
      <c r="G29" s="10">
        <v>2.98</v>
      </c>
      <c r="H29" s="10">
        <v>2.41</v>
      </c>
      <c r="I29" s="10">
        <v>2.57</v>
      </c>
      <c r="J29" s="10">
        <v>2.08</v>
      </c>
      <c r="K29" s="10">
        <v>2.69</v>
      </c>
      <c r="L29" s="10">
        <v>2.82</v>
      </c>
      <c r="M29" s="10">
        <v>2.62</v>
      </c>
      <c r="N29" s="10">
        <v>2.31</v>
      </c>
      <c r="O29" s="10">
        <v>3.12</v>
      </c>
      <c r="P29" s="10">
        <v>2.56</v>
      </c>
      <c r="Q29" s="10">
        <v>2.1</v>
      </c>
      <c r="R29" s="10">
        <v>1.42</v>
      </c>
      <c r="S29" s="10">
        <v>1.65</v>
      </c>
      <c r="T29" s="10">
        <v>1.48</v>
      </c>
      <c r="U29" s="10">
        <v>1.84</v>
      </c>
      <c r="V29" s="10">
        <v>1.26</v>
      </c>
      <c r="W29" s="10">
        <v>1.52</v>
      </c>
      <c r="X29" s="10">
        <v>1.36</v>
      </c>
      <c r="Y29" s="10">
        <v>2.63</v>
      </c>
      <c r="Z29" s="10">
        <v>0.93</v>
      </c>
      <c r="AA29" s="10">
        <v>1.08</v>
      </c>
      <c r="AB29" s="10">
        <v>1.02</v>
      </c>
      <c r="AC29" s="10">
        <v>1.49</v>
      </c>
      <c r="AD29" s="10">
        <v>0.84</v>
      </c>
      <c r="AE29" s="10">
        <v>1.08</v>
      </c>
      <c r="AF29" s="10">
        <v>1.03</v>
      </c>
      <c r="AG29" s="10">
        <v>1.3</v>
      </c>
      <c r="AH29" s="10">
        <v>0.86</v>
      </c>
      <c r="AI29" s="10">
        <v>0.95</v>
      </c>
      <c r="AJ29" s="10">
        <v>0.84</v>
      </c>
      <c r="AK29" s="10">
        <v>1.17</v>
      </c>
      <c r="AL29" s="10">
        <v>0.78</v>
      </c>
      <c r="AM29" s="10">
        <v>0.83</v>
      </c>
      <c r="AN29" s="10">
        <v>0.72</v>
      </c>
      <c r="AO29" s="10">
        <v>1.01</v>
      </c>
      <c r="AP29" s="10">
        <v>0.74</v>
      </c>
      <c r="AQ29" s="10">
        <v>0.75</v>
      </c>
      <c r="AR29" s="10">
        <v>0.67</v>
      </c>
      <c r="AS29" s="10">
        <v>0.96</v>
      </c>
      <c r="AT29" s="10">
        <v>0.62</v>
      </c>
      <c r="AU29" s="10">
        <v>0.64</v>
      </c>
      <c r="AV29" s="10">
        <v>0.63</v>
      </c>
      <c r="AW29" s="10">
        <v>0.85</v>
      </c>
      <c r="AX29" s="10">
        <v>0.5</v>
      </c>
      <c r="AY29" s="10">
        <v>0.42</v>
      </c>
      <c r="AZ29" s="10">
        <v>0.45</v>
      </c>
      <c r="BA29" s="10">
        <v>0.64</v>
      </c>
      <c r="BB29" s="10">
        <v>0.37</v>
      </c>
      <c r="BC29" s="10">
        <v>0.41</v>
      </c>
      <c r="BD29" s="10">
        <v>0.39</v>
      </c>
      <c r="BE29" s="10">
        <v>0.25</v>
      </c>
      <c r="BF29" s="10">
        <v>0.24</v>
      </c>
      <c r="BG29" s="10">
        <v>0.29</v>
      </c>
      <c r="BH29" s="10">
        <v>0.26</v>
      </c>
      <c r="BI29" s="10">
        <v>0.26</v>
      </c>
      <c r="BJ29" s="10">
        <v>-0.02</v>
      </c>
      <c r="BK29" s="10">
        <v>0.106</v>
      </c>
      <c r="BL29" s="10">
        <v>0.023</v>
      </c>
      <c r="BM29" s="10">
        <v>0.175</v>
      </c>
      <c r="BN29" s="10">
        <v>-0.105</v>
      </c>
      <c r="BO29" s="10">
        <v>-0.219</v>
      </c>
      <c r="BP29" s="10">
        <v>0.133</v>
      </c>
      <c r="BQ29" s="10">
        <v>0.16</v>
      </c>
      <c r="BR29" s="10">
        <v>-0.02</v>
      </c>
      <c r="BS29" s="10">
        <v>0.15</v>
      </c>
      <c r="BT29" s="10">
        <v>0.15</v>
      </c>
      <c r="BU29" s="10">
        <v>0.445</v>
      </c>
      <c r="BV29" s="10">
        <v>0.2</v>
      </c>
      <c r="BW29" s="10">
        <v>0.23</v>
      </c>
      <c r="BX29" s="10">
        <v>0.2</v>
      </c>
      <c r="BY29" s="10">
        <v>0.4</v>
      </c>
      <c r="BZ29" s="10">
        <v>0.22</v>
      </c>
      <c r="CA29" s="10">
        <v>0.22</v>
      </c>
      <c r="CB29" s="10">
        <v>0.2</v>
      </c>
      <c r="CC29" s="10">
        <v>0.3</v>
      </c>
      <c r="CD29" s="10">
        <v>0.23</v>
      </c>
      <c r="CE29" s="10">
        <v>0.18</v>
      </c>
      <c r="CF29" s="10">
        <v>0.18</v>
      </c>
      <c r="CG29" s="10">
        <v>0.31</v>
      </c>
      <c r="CH29" s="10">
        <v>0.2</v>
      </c>
      <c r="CI29" s="10">
        <v>0.13</v>
      </c>
      <c r="CJ29" s="10">
        <v>0.14</v>
      </c>
      <c r="CK29" s="10">
        <v>0.29</v>
      </c>
      <c r="CL29" s="10">
        <v>0.14</v>
      </c>
      <c r="CM29" s="10">
        <v>0.08</v>
      </c>
      <c r="CN29" s="10">
        <v>0.11</v>
      </c>
      <c r="CO29" s="10">
        <v>-0.1</v>
      </c>
      <c r="CP29" s="10">
        <v>0.14</v>
      </c>
      <c r="CQ29" s="10">
        <v>0.08</v>
      </c>
      <c r="CR29" s="10">
        <v>0.09</v>
      </c>
      <c r="CS29" s="10">
        <v>0.225</v>
      </c>
      <c r="CT29" s="10">
        <v>0.15</v>
      </c>
      <c r="CU29" s="10">
        <v>0.12</v>
      </c>
      <c r="CV29" s="10">
        <v>0.11</v>
      </c>
      <c r="CW29" s="10">
        <v>0.15</v>
      </c>
      <c r="CX29" s="10">
        <v>0.12</v>
      </c>
      <c r="CY29" s="10">
        <v>0.1</v>
      </c>
      <c r="CZ29" s="10">
        <v>0.09</v>
      </c>
      <c r="DA29" s="10">
        <v>0.257</v>
      </c>
      <c r="DB29" s="10">
        <v>0.1</v>
      </c>
      <c r="DC29" s="10">
        <v>0.08</v>
      </c>
      <c r="DD29" s="10">
        <v>0.06</v>
      </c>
      <c r="DE29" s="10">
        <v>0.197</v>
      </c>
      <c r="DF29" s="10">
        <v>0.08</v>
      </c>
      <c r="DG29" s="10">
        <v>0.06</v>
      </c>
      <c r="DH29" s="10">
        <v>0.05</v>
      </c>
      <c r="DI29" s="10">
        <v>0.147</v>
      </c>
      <c r="DJ29" s="10">
        <v>0.06</v>
      </c>
      <c r="DK29" s="10">
        <v>0.05</v>
      </c>
      <c r="DL29" s="10">
        <v>0.04</v>
      </c>
      <c r="DM29" s="10">
        <v>0.126</v>
      </c>
      <c r="DN29" s="10">
        <v>0.05</v>
      </c>
      <c r="DO29" s="10">
        <v>0.04</v>
      </c>
      <c r="DP29" s="10">
        <v>0.02</v>
      </c>
      <c r="DQ29" s="10">
        <v>0.07</v>
      </c>
      <c r="DR29" s="10">
        <v>0.03</v>
      </c>
      <c r="DS29" s="10">
        <v>0.03</v>
      </c>
      <c r="DT29" s="10">
        <v>0.02</v>
      </c>
      <c r="DU29" s="10">
        <v>0.05</v>
      </c>
      <c r="DV29" s="10">
        <v>0.02</v>
      </c>
      <c r="DW29" s="10">
        <v>0.02</v>
      </c>
      <c r="DX29" s="10">
        <v>0.02</v>
      </c>
      <c r="DY29" s="10">
        <v>0.04</v>
      </c>
      <c r="DZ29" s="10">
        <v>0.02</v>
      </c>
      <c r="EA29" s="10">
        <v>0.02</v>
      </c>
      <c r="EB29" s="10">
        <v>0.02</v>
      </c>
      <c r="EC29" s="10">
        <v>0.03</v>
      </c>
      <c r="ED29" s="10">
        <v>0.02</v>
      </c>
      <c r="EE29" s="10">
        <v>0.02</v>
      </c>
      <c r="EF29" s="10">
        <v>0.01</v>
      </c>
      <c r="EG29" s="10">
        <v>0.03</v>
      </c>
      <c r="EH29" s="10">
        <v>0.02</v>
      </c>
      <c r="EI29" s="10">
        <v>0.02</v>
      </c>
      <c r="EJ29" s="10">
        <v>-0.02</v>
      </c>
      <c r="EK29" s="10">
        <v>0.024</v>
      </c>
      <c r="EL29" s="10">
        <v>0.02</v>
      </c>
      <c r="EM29" s="10">
        <v>0.02</v>
      </c>
      <c r="EN29" s="10">
        <v>-0.02</v>
      </c>
      <c r="EO29" s="10">
        <v>0.02</v>
      </c>
      <c r="EP29" s="10">
        <v>0.02</v>
      </c>
      <c r="EQ29" s="10">
        <v>0.02</v>
      </c>
      <c r="ER29" s="10">
        <v>-0.02</v>
      </c>
      <c r="ES29" s="10">
        <v>0.01</v>
      </c>
      <c r="ET29" s="10">
        <v>0.02</v>
      </c>
      <c r="EU29" s="10">
        <v>0.02</v>
      </c>
      <c r="EV29" s="10">
        <v>-0.02</v>
      </c>
      <c r="EW29" s="10">
        <v>0.02</v>
      </c>
      <c r="EX29" s="10">
        <v>0.02</v>
      </c>
      <c r="EY29" s="5"/>
      <c r="EZ29" s="5"/>
    </row>
    <row r="30">
      <c r="A30" s="9" t="s">
        <v>114</v>
      </c>
      <c r="B30" s="5"/>
      <c r="C30" s="8">
        <v>2.19403E8</v>
      </c>
      <c r="D30" s="8">
        <v>2.19193E8</v>
      </c>
      <c r="E30" s="8">
        <v>2.21289997E8</v>
      </c>
      <c r="F30" s="8">
        <v>2.24527001E8</v>
      </c>
      <c r="G30" s="8">
        <v>2.26299E8</v>
      </c>
      <c r="H30" s="8">
        <v>2.28477E8</v>
      </c>
      <c r="I30" s="8">
        <v>2.31080997E8</v>
      </c>
      <c r="J30" s="8">
        <v>2.32491001E8</v>
      </c>
      <c r="K30" s="8">
        <v>2.34924001E8</v>
      </c>
      <c r="L30" s="8">
        <v>2.38548001E8</v>
      </c>
      <c r="M30" s="8">
        <v>2.43490997E8</v>
      </c>
      <c r="N30" s="8">
        <v>2.47131001E8</v>
      </c>
      <c r="O30" s="8">
        <v>2.50281002E8</v>
      </c>
      <c r="P30" s="8">
        <v>2.51780002E8</v>
      </c>
      <c r="Q30" s="8">
        <v>2.53357002E8</v>
      </c>
      <c r="R30" s="8">
        <v>2.56041002E8</v>
      </c>
      <c r="S30" s="8">
        <v>2.57793002E8</v>
      </c>
      <c r="T30" s="8">
        <v>2.59021002E8</v>
      </c>
      <c r="U30" s="8">
        <v>2.61408002E8</v>
      </c>
      <c r="V30" s="8">
        <v>2.64490002E8</v>
      </c>
      <c r="W30" s="8">
        <v>2.66457002E8</v>
      </c>
      <c r="X30" s="8">
        <v>2.68267002E8</v>
      </c>
      <c r="Y30" s="8">
        <v>2.70305002E8</v>
      </c>
      <c r="Z30" s="8">
        <v>2.72319002E8</v>
      </c>
      <c r="AA30" s="8">
        <v>2.73690002E8</v>
      </c>
      <c r="AB30" s="8">
        <v>2.74692002E8</v>
      </c>
      <c r="AC30" s="8">
        <v>2.76204002E8</v>
      </c>
      <c r="AD30" s="8">
        <v>2.80441002E8</v>
      </c>
      <c r="AE30" s="8">
        <v>2.83130002E8</v>
      </c>
      <c r="AF30" s="8">
        <v>2.85886002E8</v>
      </c>
      <c r="AG30" s="8">
        <v>2.88401002E8</v>
      </c>
      <c r="AH30" s="8">
        <v>2.92037002E8</v>
      </c>
      <c r="AI30" s="8">
        <v>2.95679002E8</v>
      </c>
      <c r="AJ30" s="8">
        <v>3.01202002E8</v>
      </c>
      <c r="AK30" s="8">
        <v>3.03108002E8</v>
      </c>
      <c r="AL30" s="8">
        <v>3.03080002E8</v>
      </c>
      <c r="AM30" s="8">
        <v>3.03015002E8</v>
      </c>
      <c r="AN30" s="8">
        <v>3.09331002E8</v>
      </c>
      <c r="AO30" s="8">
        <v>3.18090002E8</v>
      </c>
      <c r="AP30" s="8">
        <v>3.21711002E8</v>
      </c>
      <c r="AQ30" s="8">
        <v>3.24770002E8</v>
      </c>
      <c r="AR30" s="8">
        <v>3.26975002E8</v>
      </c>
      <c r="AS30" s="8">
        <v>3.27598002E8</v>
      </c>
      <c r="AT30" s="8">
        <v>3.32337002E8</v>
      </c>
      <c r="AU30" s="8">
        <v>3.33001002E8</v>
      </c>
      <c r="AV30" s="8">
        <v>3.36080002E8</v>
      </c>
      <c r="AW30" s="8">
        <v>3.39926002E8</v>
      </c>
      <c r="AX30" s="8">
        <v>3.41955002E8</v>
      </c>
      <c r="AY30" s="8">
        <v>3.41534002E8</v>
      </c>
      <c r="AZ30" s="8">
        <v>3.41522002E8</v>
      </c>
      <c r="BA30" s="8">
        <v>3.41305002E8</v>
      </c>
      <c r="BB30" s="8">
        <v>3.41062002E8</v>
      </c>
      <c r="BC30" s="8">
        <v>3.41001002E8</v>
      </c>
      <c r="BD30" s="8">
        <v>3.40819002E8</v>
      </c>
      <c r="BE30" s="8">
        <v>3.37355002E8</v>
      </c>
      <c r="BF30" s="8">
        <v>3.17945002E8</v>
      </c>
      <c r="BG30" s="8">
        <v>3.17943002E8</v>
      </c>
      <c r="BH30" s="8">
        <v>3.17870002E8</v>
      </c>
      <c r="BI30" s="8">
        <v>3.15704002E8</v>
      </c>
      <c r="BJ30" s="8">
        <v>3.17570002E8</v>
      </c>
      <c r="BK30" s="8">
        <v>2.61408002E8</v>
      </c>
      <c r="BL30" s="8">
        <v>2.61408002E8</v>
      </c>
      <c r="BM30" s="8">
        <v>3.13567002E8</v>
      </c>
      <c r="BN30" s="8">
        <v>3.13567002E8</v>
      </c>
      <c r="BO30" s="8">
        <v>3.13567002E8</v>
      </c>
      <c r="BP30" s="8">
        <v>2.61408002E8</v>
      </c>
      <c r="BQ30" s="8">
        <v>3.12664002E8</v>
      </c>
      <c r="BR30" s="8">
        <v>3.12049002E8</v>
      </c>
      <c r="BS30" s="8">
        <v>3.11947002E8</v>
      </c>
      <c r="BT30" s="8">
        <v>3.13997002E8</v>
      </c>
      <c r="BU30" s="8">
        <v>3.23855002E8</v>
      </c>
      <c r="BV30" s="8">
        <v>3.19520002E8</v>
      </c>
      <c r="BW30" s="8">
        <v>3.23836002E8</v>
      </c>
      <c r="BX30" s="8">
        <v>3.28208002E8</v>
      </c>
      <c r="BY30" s="8">
        <v>3.27753002E8</v>
      </c>
      <c r="BZ30" s="8">
        <v>3.27844002E8</v>
      </c>
      <c r="CA30" s="8">
        <v>3.27799002E8</v>
      </c>
      <c r="CB30" s="8">
        <v>3.34109002E8</v>
      </c>
      <c r="CC30" s="8">
        <v>3.36263002E8</v>
      </c>
      <c r="CD30" s="8">
        <v>3.35411002E8</v>
      </c>
      <c r="CE30" s="8">
        <v>3.33871002E8</v>
      </c>
      <c r="CF30" s="8">
        <v>3.33243002E8</v>
      </c>
      <c r="CG30" s="8">
        <v>3.33262002E8</v>
      </c>
      <c r="CH30" s="8">
        <v>3.33227002E8</v>
      </c>
      <c r="CI30" s="8">
        <v>3.33067002E8</v>
      </c>
      <c r="CJ30" s="8">
        <v>3.32665002E8</v>
      </c>
      <c r="CK30" s="8">
        <v>3.32644002E8</v>
      </c>
      <c r="CL30" s="8">
        <v>3.32491002E8</v>
      </c>
      <c r="CM30" s="8">
        <v>3.32330002E8</v>
      </c>
      <c r="CN30" s="8">
        <v>3.31588002E8</v>
      </c>
      <c r="CO30" s="8">
        <v>3.31007002E8</v>
      </c>
      <c r="CP30" s="8">
        <v>3.29903002E8</v>
      </c>
      <c r="CQ30" s="8">
        <v>3.28578002E8</v>
      </c>
      <c r="CR30" s="8">
        <v>3.29476002E8</v>
      </c>
      <c r="CS30" s="8">
        <v>2.61408002E8</v>
      </c>
      <c r="CT30" s="8">
        <v>2.65466002E8</v>
      </c>
      <c r="CU30" s="8">
        <v>2.81161252E8</v>
      </c>
      <c r="CV30" s="8">
        <v>2.78511252E8</v>
      </c>
      <c r="CW30" s="8">
        <v>2.61408002E8</v>
      </c>
      <c r="CX30" s="8">
        <v>2.81428574E8</v>
      </c>
      <c r="CY30" s="8">
        <v>2.93636366E8</v>
      </c>
      <c r="CZ30" s="8">
        <v>2.67272729E8</v>
      </c>
      <c r="DA30" s="8">
        <v>2.61408002E8</v>
      </c>
      <c r="DB30" s="8">
        <v>3.36000003E8</v>
      </c>
      <c r="DC30" s="8">
        <v>3.23750003E8</v>
      </c>
      <c r="DD30" s="8">
        <v>3.08333336E8</v>
      </c>
      <c r="DE30" s="8">
        <v>2.61408002E8</v>
      </c>
      <c r="DF30" s="8">
        <v>3.32500003E8</v>
      </c>
      <c r="DG30" s="8">
        <v>3.65000003E8</v>
      </c>
      <c r="DH30" s="8">
        <v>2.88000002E8</v>
      </c>
      <c r="DI30" s="8">
        <v>2.61408002E8</v>
      </c>
      <c r="DJ30" s="8">
        <v>3.33333336E8</v>
      </c>
      <c r="DK30" s="8">
        <v>3.54000003E8</v>
      </c>
      <c r="DL30" s="8">
        <v>2.90000002E8</v>
      </c>
      <c r="DM30" s="8">
        <v>2.61408002E8</v>
      </c>
      <c r="DN30" s="8">
        <v>3.46000003E8</v>
      </c>
      <c r="DO30" s="8">
        <v>3.50000003E8</v>
      </c>
      <c r="DP30" s="8">
        <v>4.75000004E8</v>
      </c>
      <c r="DQ30" s="8">
        <v>3.02250002E8</v>
      </c>
      <c r="DR30" s="8">
        <v>3.6666667E8</v>
      </c>
      <c r="DS30" s="8">
        <v>3.20000003E8</v>
      </c>
      <c r="DT30" s="8">
        <v>2.95000002E8</v>
      </c>
      <c r="DU30" s="8">
        <v>3.54545457E8</v>
      </c>
      <c r="DV30" s="8">
        <v>4.15000003E8</v>
      </c>
      <c r="DW30" s="8">
        <v>3.35000003E8</v>
      </c>
      <c r="DX30" s="8">
        <v>1.95000002E8</v>
      </c>
      <c r="DY30" s="8">
        <v>3.08571431E8</v>
      </c>
      <c r="DZ30" s="8">
        <v>2.15000002E8</v>
      </c>
      <c r="EA30" s="8">
        <v>1.90000002E8</v>
      </c>
      <c r="EB30" s="8">
        <v>6.0E7</v>
      </c>
      <c r="EC30" s="8">
        <v>3.13000003E8</v>
      </c>
      <c r="ED30" s="8">
        <v>1.40000001E8</v>
      </c>
      <c r="EE30" s="8">
        <v>1.25000001E8</v>
      </c>
      <c r="EF30" s="8">
        <v>4.0E7</v>
      </c>
      <c r="EG30" s="8">
        <v>2.27000002E8</v>
      </c>
      <c r="EH30" s="8">
        <v>1.40000001E8</v>
      </c>
      <c r="EI30" s="8">
        <v>1.40000001E8</v>
      </c>
      <c r="EJ30" s="8">
        <v>2.0E7</v>
      </c>
      <c r="EK30" s="8">
        <v>2.61408002E8</v>
      </c>
      <c r="EL30" s="8">
        <v>1.25000001E8</v>
      </c>
      <c r="EM30" s="8">
        <v>1.20000001E8</v>
      </c>
      <c r="EN30" s="8">
        <v>4.0E7</v>
      </c>
      <c r="EO30" s="8">
        <v>2.61408002E8</v>
      </c>
      <c r="EP30" s="8">
        <v>3.5E7</v>
      </c>
      <c r="EQ30" s="8">
        <v>1.00000001E8</v>
      </c>
      <c r="ER30" s="8">
        <v>7.5000001E7</v>
      </c>
      <c r="ES30" s="8">
        <v>2.61408002E8</v>
      </c>
      <c r="ET30" s="8">
        <v>5.5E7</v>
      </c>
      <c r="EU30" s="8">
        <v>1.20000001E8</v>
      </c>
      <c r="EV30" s="8">
        <v>8.5000001E7</v>
      </c>
      <c r="EW30" s="8">
        <v>4.2166667E8</v>
      </c>
      <c r="EX30" s="8">
        <v>2.05000002E8</v>
      </c>
      <c r="EY30" s="5"/>
      <c r="EZ30" s="5"/>
    </row>
    <row r="31">
      <c r="A31" s="9" t="s">
        <v>115</v>
      </c>
      <c r="B31" s="5"/>
      <c r="C31" s="8">
        <v>2.19952E8</v>
      </c>
      <c r="D31" s="8">
        <v>2.20107E8</v>
      </c>
      <c r="E31" s="8">
        <v>2.22426997E8</v>
      </c>
      <c r="F31" s="8">
        <v>2.25697001E8</v>
      </c>
      <c r="G31" s="8">
        <v>2.27456E8</v>
      </c>
      <c r="H31" s="8">
        <v>2.29609E8</v>
      </c>
      <c r="I31" s="8">
        <v>2.32514997E8</v>
      </c>
      <c r="J31" s="8">
        <v>2.34026001E8</v>
      </c>
      <c r="K31" s="8">
        <v>2.36406001E8</v>
      </c>
      <c r="L31" s="8">
        <v>2.40301001E8</v>
      </c>
      <c r="M31" s="8">
        <v>2.45422994E8</v>
      </c>
      <c r="N31" s="8">
        <v>2.49063001E8</v>
      </c>
      <c r="O31" s="8">
        <v>2.52190002E8</v>
      </c>
      <c r="P31" s="8">
        <v>2.53627002E8</v>
      </c>
      <c r="Q31" s="8">
        <v>2.55146002E8</v>
      </c>
      <c r="R31" s="8">
        <v>2.57699002E8</v>
      </c>
      <c r="S31" s="8">
        <v>2.59102002E8</v>
      </c>
      <c r="T31" s="8">
        <v>2.60265002E8</v>
      </c>
      <c r="U31" s="8">
        <v>2.62536002E8</v>
      </c>
      <c r="V31" s="8">
        <v>2.65522002E8</v>
      </c>
      <c r="W31" s="8">
        <v>2.67226002E8</v>
      </c>
      <c r="X31" s="8">
        <v>2.69135002E8</v>
      </c>
      <c r="Y31" s="8">
        <v>2.71218002E8</v>
      </c>
      <c r="Z31" s="8">
        <v>2.72881002E8</v>
      </c>
      <c r="AA31" s="8">
        <v>2.74132002E8</v>
      </c>
      <c r="AB31" s="8">
        <v>2.75215002E8</v>
      </c>
      <c r="AC31" s="8">
        <v>2.77059002E8</v>
      </c>
      <c r="AD31" s="8">
        <v>2.81283002E8</v>
      </c>
      <c r="AE31" s="8">
        <v>2.84116002E8</v>
      </c>
      <c r="AF31" s="8">
        <v>2.86978002E8</v>
      </c>
      <c r="AG31" s="8">
        <v>2.89322002E8</v>
      </c>
      <c r="AH31" s="8">
        <v>2.92904002E8</v>
      </c>
      <c r="AI31" s="8">
        <v>2.96528002E8</v>
      </c>
      <c r="AJ31" s="8">
        <v>3.02089002E8</v>
      </c>
      <c r="AK31" s="8">
        <v>3.04435002E8</v>
      </c>
      <c r="AL31" s="8">
        <v>3.04108002E8</v>
      </c>
      <c r="AM31" s="8">
        <v>3.03888002E8</v>
      </c>
      <c r="AN31" s="8">
        <v>3.10295002E8</v>
      </c>
      <c r="AO31" s="8">
        <v>3.19104002E8</v>
      </c>
      <c r="AP31" s="8">
        <v>3.22543002E8</v>
      </c>
      <c r="AQ31" s="8">
        <v>3.25639002E8</v>
      </c>
      <c r="AR31" s="8">
        <v>3.28132002E8</v>
      </c>
      <c r="AS31" s="8">
        <v>3.28859002E8</v>
      </c>
      <c r="AT31" s="8">
        <v>3.34004002E8</v>
      </c>
      <c r="AU31" s="8">
        <v>3.35521002E8</v>
      </c>
      <c r="AV31" s="8">
        <v>3.39490002E8</v>
      </c>
      <c r="AW31" s="8">
        <v>3.43674002E8</v>
      </c>
      <c r="AX31" s="8">
        <v>3.45777002E8</v>
      </c>
      <c r="AY31" s="8">
        <v>3.45625002E8</v>
      </c>
      <c r="AZ31" s="8">
        <v>3.45393002E8</v>
      </c>
      <c r="BA31" s="8">
        <v>3.45316002E8</v>
      </c>
      <c r="BB31" s="8">
        <v>3.44739002E8</v>
      </c>
      <c r="BC31" s="8">
        <v>3.44746002E8</v>
      </c>
      <c r="BD31" s="8">
        <v>3.44397002E8</v>
      </c>
      <c r="BE31" s="8">
        <v>3.40982002E8</v>
      </c>
      <c r="BF31" s="8">
        <v>3.20558002E8</v>
      </c>
      <c r="BG31" s="8">
        <v>3.19505002E8</v>
      </c>
      <c r="BH31" s="8">
        <v>3.18298002E8</v>
      </c>
      <c r="BI31" s="8">
        <v>3.16324002E8</v>
      </c>
      <c r="BJ31" s="8">
        <v>3.17570002E8</v>
      </c>
      <c r="BK31" s="8">
        <v>2.62538002E8</v>
      </c>
      <c r="BL31" s="8">
        <v>2.62538002E8</v>
      </c>
      <c r="BM31" s="8">
        <v>3.15928002E8</v>
      </c>
      <c r="BN31" s="8">
        <v>3.15928002E8</v>
      </c>
      <c r="BO31" s="8">
        <v>3.15928002E8</v>
      </c>
      <c r="BP31" s="8">
        <v>2.62538002E8</v>
      </c>
      <c r="BQ31" s="8">
        <v>3.13588002E8</v>
      </c>
      <c r="BR31" s="8">
        <v>3.12049002E8</v>
      </c>
      <c r="BS31" s="8">
        <v>3.12594002E8</v>
      </c>
      <c r="BT31" s="8">
        <v>3.15233002E8</v>
      </c>
      <c r="BU31" s="8">
        <v>3.26334002E8</v>
      </c>
      <c r="BV31" s="8">
        <v>3.21443002E8</v>
      </c>
      <c r="BW31" s="8">
        <v>3.26340002E8</v>
      </c>
      <c r="BX31" s="8">
        <v>3.31218002E8</v>
      </c>
      <c r="BY31" s="8">
        <v>3.30403002E8</v>
      </c>
      <c r="BZ31" s="8">
        <v>3.30313002E8</v>
      </c>
      <c r="CA31" s="8">
        <v>3.30298002E8</v>
      </c>
      <c r="CB31" s="8">
        <v>3.37257002E8</v>
      </c>
      <c r="CC31" s="8">
        <v>3.39868002E8</v>
      </c>
      <c r="CD31" s="8">
        <v>3.39238002E8</v>
      </c>
      <c r="CE31" s="8">
        <v>3.36841002E8</v>
      </c>
      <c r="CF31" s="8">
        <v>3.34597002E8</v>
      </c>
      <c r="CG31" s="8">
        <v>3.34660002E8</v>
      </c>
      <c r="CH31" s="8">
        <v>3.34970002E8</v>
      </c>
      <c r="CI31" s="8">
        <v>3.35737002E8</v>
      </c>
      <c r="CJ31" s="8">
        <v>3.34834002E8</v>
      </c>
      <c r="CK31" s="8">
        <v>3.34624002E8</v>
      </c>
      <c r="CL31" s="8">
        <v>3.34857002E8</v>
      </c>
      <c r="CM31" s="8">
        <v>3.35402002E8</v>
      </c>
      <c r="CN31" s="8">
        <v>3.35184002E8</v>
      </c>
      <c r="CO31" s="8">
        <v>3.34005002E8</v>
      </c>
      <c r="CP31" s="8">
        <v>3.34097002E8</v>
      </c>
      <c r="CQ31" s="8">
        <v>3.33038002E8</v>
      </c>
      <c r="CR31" s="8">
        <v>3.34293002E8</v>
      </c>
      <c r="CS31" s="8">
        <v>2.62538002E8</v>
      </c>
      <c r="CT31" s="8">
        <v>2.70391002E8</v>
      </c>
      <c r="CU31" s="8">
        <v>3.38836252E8</v>
      </c>
      <c r="CV31" s="8">
        <v>3.36376252E8</v>
      </c>
      <c r="CW31" s="8">
        <v>3.27635558E8</v>
      </c>
      <c r="CX31" s="8">
        <v>3.28333336E8</v>
      </c>
      <c r="CY31" s="8">
        <v>3.23000003E8</v>
      </c>
      <c r="CZ31" s="8">
        <v>3.26666669E8</v>
      </c>
      <c r="DA31" s="8">
        <v>2.62538002E8</v>
      </c>
      <c r="DB31" s="8">
        <v>3.36000003E8</v>
      </c>
      <c r="DC31" s="8">
        <v>3.23750003E8</v>
      </c>
      <c r="DD31" s="8">
        <v>3.08333336E8</v>
      </c>
      <c r="DE31" s="8">
        <v>3.34736845E8</v>
      </c>
      <c r="DF31" s="8">
        <v>3.32500003E8</v>
      </c>
      <c r="DG31" s="8">
        <v>3.65000003E8</v>
      </c>
      <c r="DH31" s="8">
        <v>2.88000002E8</v>
      </c>
      <c r="DI31" s="8">
        <v>3.5214286E8</v>
      </c>
      <c r="DJ31" s="8">
        <v>3.33333336E8</v>
      </c>
      <c r="DK31" s="8">
        <v>3.54000003E8</v>
      </c>
      <c r="DL31" s="8">
        <v>2.90000002E8</v>
      </c>
      <c r="DM31" s="8">
        <v>3.40000003E8</v>
      </c>
      <c r="DN31" s="8">
        <v>3.46000003E8</v>
      </c>
      <c r="DO31" s="8">
        <v>3.50000003E8</v>
      </c>
      <c r="DP31" s="8">
        <v>4.75000004E8</v>
      </c>
      <c r="DQ31" s="8">
        <v>3.02250002E8</v>
      </c>
      <c r="DR31" s="8">
        <v>3.6666667E8</v>
      </c>
      <c r="DS31" s="8">
        <v>3.20000003E8</v>
      </c>
      <c r="DT31" s="8">
        <v>2.95000002E8</v>
      </c>
      <c r="DU31" s="8">
        <v>3.54545457E8</v>
      </c>
      <c r="DV31" s="8">
        <v>4.15000003E8</v>
      </c>
      <c r="DW31" s="8">
        <v>3.35000003E8</v>
      </c>
      <c r="DX31" s="8">
        <v>1.95000002E8</v>
      </c>
      <c r="DY31" s="8">
        <v>3.08571431E8</v>
      </c>
      <c r="DZ31" s="8">
        <v>2.15000002E8</v>
      </c>
      <c r="EA31" s="8">
        <v>1.90000002E8</v>
      </c>
      <c r="EB31" s="8">
        <v>6.0E7</v>
      </c>
      <c r="EC31" s="8">
        <v>3.13000003E8</v>
      </c>
      <c r="ED31" s="8">
        <v>1.40000001E8</v>
      </c>
      <c r="EE31" s="8">
        <v>1.25000001E8</v>
      </c>
      <c r="EF31" s="8">
        <v>4.0E7</v>
      </c>
      <c r="EG31" s="8">
        <v>2.27000002E8</v>
      </c>
      <c r="EH31" s="8">
        <v>1.40000001E8</v>
      </c>
      <c r="EI31" s="8">
        <v>1.40000001E8</v>
      </c>
      <c r="EJ31" s="8">
        <v>2.0E7</v>
      </c>
      <c r="EK31" s="8">
        <v>2.62538002E8</v>
      </c>
      <c r="EL31" s="8">
        <v>1.25000001E8</v>
      </c>
      <c r="EM31" s="8">
        <v>1.20000001E8</v>
      </c>
      <c r="EN31" s="8">
        <v>4.0E7</v>
      </c>
      <c r="EO31" s="8">
        <v>2.62538002E8</v>
      </c>
      <c r="EP31" s="8">
        <v>3.5E7</v>
      </c>
      <c r="EQ31" s="8">
        <v>1.00000001E8</v>
      </c>
      <c r="ER31" s="8">
        <v>7.5000001E7</v>
      </c>
      <c r="ES31" s="8">
        <v>2.62538002E8</v>
      </c>
      <c r="ET31" s="8">
        <v>5.5E7</v>
      </c>
      <c r="EU31" s="8">
        <v>1.20000001E8</v>
      </c>
      <c r="EV31" s="8">
        <v>8.5000001E7</v>
      </c>
      <c r="EW31" s="8">
        <v>4.2166667E8</v>
      </c>
      <c r="EX31" s="8">
        <v>2.05000002E8</v>
      </c>
      <c r="EY31" s="5"/>
      <c r="EZ31" s="5"/>
    </row>
    <row r="32">
      <c r="A32" s="5" t="s">
        <v>116</v>
      </c>
      <c r="B32" s="8">
        <v>3.101891E9</v>
      </c>
      <c r="C32" s="8">
        <v>6.92314E8</v>
      </c>
      <c r="D32" s="8">
        <v>7.40858E8</v>
      </c>
      <c r="E32" s="8">
        <v>9.33174E8</v>
      </c>
      <c r="F32" s="8">
        <v>7.35545E8</v>
      </c>
      <c r="G32" s="8">
        <v>9.13426E8</v>
      </c>
      <c r="H32" s="8">
        <v>7.46157E8</v>
      </c>
      <c r="I32" s="8">
        <v>7.96669E8</v>
      </c>
      <c r="J32" s="8">
        <v>6.65588E8</v>
      </c>
      <c r="K32" s="8">
        <v>8.49568E8</v>
      </c>
      <c r="L32" s="8">
        <v>9.0885E8</v>
      </c>
      <c r="M32" s="8">
        <v>8.72224E8</v>
      </c>
      <c r="N32" s="8">
        <v>7.7313E8</v>
      </c>
      <c r="O32" s="8">
        <v>1.042627E9</v>
      </c>
      <c r="P32" s="8">
        <v>8.66784E8</v>
      </c>
      <c r="Q32" s="8">
        <v>7.20875E8</v>
      </c>
      <c r="R32" s="8">
        <v>4.91417E8</v>
      </c>
      <c r="S32" s="8">
        <v>5.77775E8</v>
      </c>
      <c r="T32" s="8">
        <v>5.12237E8</v>
      </c>
      <c r="U32" s="8">
        <v>6.38503E8</v>
      </c>
      <c r="V32" s="8">
        <v>4.42143E8</v>
      </c>
      <c r="W32" s="8">
        <v>5.45476E8</v>
      </c>
      <c r="X32" s="8">
        <v>4.90184E8</v>
      </c>
      <c r="Y32" s="8">
        <v>6.23446E8</v>
      </c>
      <c r="Z32" s="8">
        <v>4.17431E8</v>
      </c>
      <c r="AA32" s="8">
        <v>4.93146E8</v>
      </c>
      <c r="AB32" s="8">
        <v>4.73795E8</v>
      </c>
      <c r="AC32" s="8">
        <v>6.80618E8</v>
      </c>
      <c r="AD32" s="8">
        <v>3.92991E8</v>
      </c>
      <c r="AE32" s="8">
        <v>5.09097E8</v>
      </c>
      <c r="AF32" s="8">
        <v>4.80743E8</v>
      </c>
      <c r="AG32" s="8">
        <v>6.12429E8</v>
      </c>
      <c r="AH32" s="8">
        <v>4.23859E8</v>
      </c>
      <c r="AI32" s="8">
        <v>4.75812E8</v>
      </c>
      <c r="AJ32" s="8">
        <v>4.28194E8</v>
      </c>
      <c r="AK32" s="8">
        <v>5.66716E8</v>
      </c>
      <c r="AL32" s="8">
        <v>3.94143E8</v>
      </c>
      <c r="AM32" s="8">
        <v>4.28526E8</v>
      </c>
      <c r="AN32" s="8">
        <v>3.79708E8</v>
      </c>
      <c r="AO32" s="8">
        <v>5.38122E8</v>
      </c>
      <c r="AP32" s="8">
        <v>3.90241E8</v>
      </c>
      <c r="AQ32" s="8">
        <v>4.12822E8</v>
      </c>
      <c r="AR32" s="8">
        <v>3.95E8</v>
      </c>
      <c r="AS32" s="8">
        <v>5.22349E8</v>
      </c>
      <c r="AT32" s="8">
        <v>3.61389E8</v>
      </c>
      <c r="AU32" s="8">
        <v>3.87214E8</v>
      </c>
      <c r="AV32" s="8">
        <v>3.84324E8</v>
      </c>
      <c r="AW32" s="8">
        <v>5.0824E8</v>
      </c>
      <c r="AX32" s="8">
        <v>3.10917E8</v>
      </c>
      <c r="AY32" s="8">
        <v>3.50029E8</v>
      </c>
      <c r="AZ32" s="8">
        <v>3.21618E8</v>
      </c>
      <c r="BA32" s="8">
        <v>4.08251E8</v>
      </c>
      <c r="BB32" s="8">
        <v>2.74334E8</v>
      </c>
      <c r="BC32" s="8">
        <v>3.00757E8</v>
      </c>
      <c r="BD32" s="8">
        <v>2.90723E8</v>
      </c>
      <c r="BE32" s="8">
        <v>2.78933E8</v>
      </c>
      <c r="BF32" s="8">
        <v>2.16239E8</v>
      </c>
      <c r="BG32" s="8">
        <v>2.33217E8</v>
      </c>
      <c r="BH32" s="8">
        <v>2.24869E8</v>
      </c>
      <c r="BI32" s="8">
        <v>2.22828E8</v>
      </c>
      <c r="BJ32" s="8">
        <v>1.03732E8</v>
      </c>
      <c r="BK32" s="8">
        <v>1.43055E8</v>
      </c>
      <c r="BL32" s="8">
        <v>1.10573E8</v>
      </c>
      <c r="BM32" s="8">
        <v>1.86466E8</v>
      </c>
      <c r="BN32" s="8">
        <v>6.5703E7</v>
      </c>
      <c r="BO32" s="8">
        <v>-5.214E7</v>
      </c>
      <c r="BP32" s="8">
        <v>5.5368E7</v>
      </c>
      <c r="BQ32" s="8">
        <v>8.3075E7</v>
      </c>
      <c r="BR32" s="8">
        <v>3339000.0</v>
      </c>
      <c r="BS32" s="8">
        <v>8.0577E7</v>
      </c>
      <c r="BT32" s="8">
        <v>8.1285E7</v>
      </c>
      <c r="BU32" s="8">
        <v>2.32264E8</v>
      </c>
      <c r="BV32" s="8">
        <v>1.01612E8</v>
      </c>
      <c r="BW32" s="8">
        <v>1.2107E8</v>
      </c>
      <c r="BX32" s="8">
        <v>1.06921E8</v>
      </c>
      <c r="BY32" s="8">
        <v>2.20344E8</v>
      </c>
      <c r="BZ32" s="8">
        <v>1.13956E8</v>
      </c>
      <c r="CA32" s="8">
        <v>1.08126E8</v>
      </c>
      <c r="CB32" s="8">
        <v>1.1455E8</v>
      </c>
      <c r="CC32" s="8">
        <v>1.75123E8</v>
      </c>
      <c r="CD32" s="8">
        <v>1.31346E8</v>
      </c>
      <c r="CE32" s="8">
        <v>1.01843E8</v>
      </c>
      <c r="CF32" s="8">
        <v>1.02951E8</v>
      </c>
      <c r="CG32" s="8">
        <v>1.77545E8</v>
      </c>
      <c r="CH32" s="8">
        <v>1.18472E8</v>
      </c>
      <c r="CI32" s="8">
        <v>7.826E7</v>
      </c>
      <c r="CJ32" s="8">
        <v>8.2988E7</v>
      </c>
      <c r="CK32" s="8">
        <v>1.62884E8</v>
      </c>
      <c r="CL32" s="8">
        <v>8.6078E7</v>
      </c>
      <c r="CM32" s="8">
        <v>5.5214E7</v>
      </c>
      <c r="CN32" s="8">
        <v>6.9435E7</v>
      </c>
      <c r="CO32" s="8">
        <v>-6.7655E7</v>
      </c>
      <c r="CP32" s="8">
        <v>8.484E7</v>
      </c>
      <c r="CQ32" s="8">
        <v>6.5988E7</v>
      </c>
      <c r="CR32" s="8">
        <v>7.0831E7</v>
      </c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</row>
    <row r="33">
      <c r="A33" s="5" t="s">
        <v>117</v>
      </c>
      <c r="B33" s="8">
        <v>3.570492E10</v>
      </c>
      <c r="C33" s="8">
        <v>9.103867E9</v>
      </c>
      <c r="D33" s="8">
        <v>8.601974E9</v>
      </c>
      <c r="E33" s="8">
        <v>9.269733E9</v>
      </c>
      <c r="F33" s="8">
        <v>8.729346E9</v>
      </c>
      <c r="G33" s="8">
        <v>8.512287E9</v>
      </c>
      <c r="H33" s="8">
        <v>8.005195E9</v>
      </c>
      <c r="I33" s="8">
        <v>7.854779E9</v>
      </c>
      <c r="J33" s="8">
        <v>7.852251E9</v>
      </c>
      <c r="K33" s="8">
        <v>7.80063E9</v>
      </c>
      <c r="L33" s="8">
        <v>7.492114E9</v>
      </c>
      <c r="M33" s="8">
        <v>7.5423E9</v>
      </c>
      <c r="N33" s="8">
        <v>7.426495E9</v>
      </c>
      <c r="O33" s="8">
        <v>7.641614E9</v>
      </c>
      <c r="P33" s="8">
        <v>7.581665E9</v>
      </c>
      <c r="Q33" s="8">
        <v>6.436767E9</v>
      </c>
      <c r="R33" s="8">
        <v>6.499976E9</v>
      </c>
      <c r="S33" s="8">
        <v>6.403978E9</v>
      </c>
      <c r="T33" s="8">
        <v>6.110948E9</v>
      </c>
      <c r="U33" s="8">
        <v>6.011306E9</v>
      </c>
      <c r="V33" s="8">
        <v>5.975319E9</v>
      </c>
      <c r="W33" s="8">
        <v>5.897833E9</v>
      </c>
      <c r="X33" s="8">
        <v>5.624279E9</v>
      </c>
      <c r="Y33" s="8">
        <v>5.505985E9</v>
      </c>
      <c r="Z33" s="8">
        <v>5.486175E9</v>
      </c>
      <c r="AA33" s="8">
        <v>5.335159E9</v>
      </c>
      <c r="AB33" s="8">
        <v>5.13583E9</v>
      </c>
      <c r="AC33" s="8">
        <v>5.328628E9</v>
      </c>
      <c r="AD33" s="8">
        <v>4.927038E9</v>
      </c>
      <c r="AE33" s="8">
        <v>4.882794E9</v>
      </c>
      <c r="AF33" s="8">
        <v>4.784689E9</v>
      </c>
      <c r="AG33" s="8">
        <v>4.674509E9</v>
      </c>
      <c r="AH33" s="8">
        <v>4.643189E9</v>
      </c>
      <c r="AI33" s="8">
        <v>4.620092E9</v>
      </c>
      <c r="AJ33" s="8">
        <v>4.490478E9</v>
      </c>
      <c r="AK33" s="8">
        <v>4.372343E9</v>
      </c>
      <c r="AL33" s="8">
        <v>4.330266E9</v>
      </c>
      <c r="AM33" s="8">
        <v>4.295513E9</v>
      </c>
      <c r="AN33" s="8">
        <v>4.142373E9</v>
      </c>
      <c r="AO33" s="8">
        <v>3.955823E9</v>
      </c>
      <c r="AP33" s="8">
        <v>3.991597E9</v>
      </c>
      <c r="AQ33" s="8">
        <v>3.981829E9</v>
      </c>
      <c r="AR33" s="8">
        <v>3.838733E9</v>
      </c>
      <c r="AS33" s="8">
        <v>3.685272E9</v>
      </c>
      <c r="AT33" s="8">
        <v>3.603258E9</v>
      </c>
      <c r="AU33" s="8">
        <v>3.561441E9</v>
      </c>
      <c r="AV33" s="8">
        <v>3.516881E9</v>
      </c>
      <c r="AW33" s="8">
        <v>3.676833E9</v>
      </c>
      <c r="AX33" s="8">
        <v>3.284307E9</v>
      </c>
      <c r="AY33" s="8">
        <v>3.225165E9</v>
      </c>
      <c r="AZ33" s="8">
        <v>3.130079E9</v>
      </c>
      <c r="BA33" s="8">
        <v>3.077853E9</v>
      </c>
      <c r="BB33" s="8">
        <v>2.949093E9</v>
      </c>
      <c r="BC33" s="8">
        <v>2.913398E9</v>
      </c>
      <c r="BD33" s="8">
        <v>2.820591E9</v>
      </c>
      <c r="BE33" s="8">
        <v>2.906852E9</v>
      </c>
      <c r="BF33" s="8">
        <v>2.712512E9</v>
      </c>
      <c r="BG33" s="8">
        <v>2.66869E9</v>
      </c>
      <c r="BH33" s="8">
        <v>2.555068E9</v>
      </c>
      <c r="BI33" s="8">
        <v>2.62552E9</v>
      </c>
      <c r="BJ33" s="8">
        <v>2.460706E9</v>
      </c>
      <c r="BK33" s="8">
        <v>2.466329E9</v>
      </c>
      <c r="BL33" s="8">
        <v>2.292925E9</v>
      </c>
      <c r="BM33" s="8">
        <v>2.373107E9</v>
      </c>
      <c r="BN33" s="8">
        <v>2.247139E9</v>
      </c>
      <c r="BO33" s="8">
        <v>2.399704E9</v>
      </c>
      <c r="BP33" s="8">
        <v>2.219899E9</v>
      </c>
      <c r="BQ33" s="8">
        <v>2.470911E9</v>
      </c>
      <c r="BR33" s="8">
        <v>2.210057E9</v>
      </c>
      <c r="BS33" s="8">
        <v>2.170476E9</v>
      </c>
      <c r="BT33" s="8">
        <v>2.070102E9</v>
      </c>
      <c r="BU33" s="8">
        <v>2.24824E9</v>
      </c>
      <c r="BV33" s="8">
        <v>1.956276E9</v>
      </c>
      <c r="BW33" s="8">
        <v>1.944946E9</v>
      </c>
      <c r="BX33" s="8">
        <v>1.870908E9</v>
      </c>
      <c r="BY33" s="8">
        <v>1.977194E9</v>
      </c>
      <c r="BZ33" s="8">
        <v>1.765231E9</v>
      </c>
      <c r="CA33" s="8">
        <v>1.728117E9</v>
      </c>
      <c r="CB33" s="8">
        <v>1.633409E9</v>
      </c>
      <c r="CC33" s="8">
        <v>1.781365E9</v>
      </c>
      <c r="CD33" s="8">
        <v>1.554E9</v>
      </c>
      <c r="CE33" s="8">
        <v>1.549251E9</v>
      </c>
      <c r="CF33" s="8">
        <v>1.466113E9</v>
      </c>
      <c r="CG33" s="8">
        <v>1.582018E9</v>
      </c>
      <c r="CH33" s="8">
        <v>1.404271E9</v>
      </c>
      <c r="CI33" s="8">
        <v>1.379967E9</v>
      </c>
      <c r="CJ33" s="8">
        <v>1.306424E9</v>
      </c>
      <c r="CK33" s="8">
        <v>1.423128E9</v>
      </c>
      <c r="CL33" s="8">
        <v>1.223047E9</v>
      </c>
      <c r="CM33" s="8">
        <v>1.17004E9</v>
      </c>
      <c r="CN33" s="8">
        <v>1.133069E9</v>
      </c>
      <c r="CO33" s="8">
        <v>1.347369E9</v>
      </c>
      <c r="CP33" s="8">
        <v>1.00952E9</v>
      </c>
      <c r="CQ33" s="8">
        <v>9.5143E8</v>
      </c>
      <c r="CR33" s="8">
        <v>9.26248E8</v>
      </c>
      <c r="CS33" s="8">
        <v>1.035562E9</v>
      </c>
      <c r="CT33" s="8">
        <v>8.684E8</v>
      </c>
      <c r="CU33" s="8">
        <v>8.48E8</v>
      </c>
      <c r="CV33" s="8">
        <v>7.867E8</v>
      </c>
      <c r="CW33" s="8">
        <v>8.74425E8</v>
      </c>
      <c r="CX33" s="8">
        <v>7.151E8</v>
      </c>
      <c r="CY33" s="8">
        <v>6.863E8</v>
      </c>
      <c r="CZ33" s="8">
        <v>6.559E8</v>
      </c>
      <c r="DA33" s="8">
        <v>7.56082E8</v>
      </c>
      <c r="DB33" s="8">
        <v>5.938E8</v>
      </c>
      <c r="DC33" s="8">
        <v>5.534E8</v>
      </c>
      <c r="DD33" s="8">
        <v>4.885E8</v>
      </c>
      <c r="DE33" s="8">
        <v>5.91822E8</v>
      </c>
      <c r="DF33" s="8">
        <v>4.645E8</v>
      </c>
      <c r="DG33" s="8">
        <v>4.58E8</v>
      </c>
      <c r="DH33" s="8">
        <v>4.304E8</v>
      </c>
      <c r="DI33" s="8">
        <v>5.12081E8</v>
      </c>
      <c r="DJ33" s="8">
        <v>4.022E8</v>
      </c>
      <c r="DK33" s="8">
        <v>3.777E8</v>
      </c>
      <c r="DL33" s="8">
        <v>3.234E8</v>
      </c>
      <c r="DM33" s="8">
        <v>4.31322E8</v>
      </c>
      <c r="DN33" s="8">
        <v>3.305E8</v>
      </c>
      <c r="DO33" s="8">
        <v>2.942E8</v>
      </c>
      <c r="DP33" s="8">
        <v>2.714E8</v>
      </c>
      <c r="DQ33" s="8">
        <v>3.471E8</v>
      </c>
      <c r="DR33" s="8">
        <v>2.549E8</v>
      </c>
      <c r="DS33" s="8">
        <v>2.393E8</v>
      </c>
      <c r="DT33" s="8">
        <v>2.117E8</v>
      </c>
      <c r="DU33" s="8">
        <v>2.635E8</v>
      </c>
      <c r="DV33" s="8">
        <v>2.091E8</v>
      </c>
      <c r="DW33" s="8">
        <v>2.055E8</v>
      </c>
      <c r="DX33" s="8">
        <v>1.817E8</v>
      </c>
      <c r="DY33" s="8">
        <v>2.228E8</v>
      </c>
      <c r="DZ33" s="8">
        <v>1.816E8</v>
      </c>
      <c r="EA33" s="8">
        <v>1.665E8</v>
      </c>
      <c r="EB33" s="8">
        <v>1.457E8</v>
      </c>
      <c r="EC33" s="8">
        <v>1.871E8</v>
      </c>
      <c r="ED33" s="8">
        <v>1.585E8</v>
      </c>
      <c r="EE33" s="8">
        <v>1.473E8</v>
      </c>
      <c r="EF33" s="8">
        <v>1.321E8</v>
      </c>
      <c r="EG33" s="8">
        <v>1.789E8</v>
      </c>
      <c r="EH33" s="8">
        <v>1.396E8</v>
      </c>
      <c r="EI33" s="8">
        <v>1.416E8</v>
      </c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</row>
    <row r="34">
      <c r="A34" s="5" t="s">
        <v>118</v>
      </c>
      <c r="B34" s="8">
        <v>2.168517E9</v>
      </c>
      <c r="C34" s="8">
        <v>4.68835E8</v>
      </c>
      <c r="D34" s="8">
        <v>5.1438E8</v>
      </c>
      <c r="E34" s="8">
        <v>6.59135E8</v>
      </c>
      <c r="F34" s="8">
        <v>5.26167E8</v>
      </c>
      <c r="G34" s="8">
        <v>6.7803E8</v>
      </c>
      <c r="H34" s="8">
        <v>5.52657E8</v>
      </c>
      <c r="I34" s="8">
        <v>5.97433E8</v>
      </c>
      <c r="J34" s="8">
        <v>4.87031E8</v>
      </c>
      <c r="K34" s="8">
        <v>6.37019E8</v>
      </c>
      <c r="L34" s="8">
        <v>6.77749E8</v>
      </c>
      <c r="M34" s="8">
        <v>6.42743E8</v>
      </c>
      <c r="N34" s="8">
        <v>5.7426E8</v>
      </c>
      <c r="O34" s="8">
        <v>7.87601E8</v>
      </c>
      <c r="P34" s="8">
        <v>6.50446E8</v>
      </c>
      <c r="Q34" s="8">
        <v>5.35437E8</v>
      </c>
      <c r="R34" s="8">
        <v>3.6555E8</v>
      </c>
      <c r="S34" s="8">
        <v>4.26555E8</v>
      </c>
      <c r="T34" s="8">
        <v>3.85013E8</v>
      </c>
      <c r="U34" s="8">
        <v>4.83241E8</v>
      </c>
      <c r="V34" s="8">
        <v>3.34142E8</v>
      </c>
      <c r="W34" s="8">
        <v>4.07237E8</v>
      </c>
      <c r="X34" s="8">
        <v>3.64852E8</v>
      </c>
      <c r="Y34" s="8">
        <v>7.12155E8</v>
      </c>
      <c r="Z34" s="8">
        <v>2.52533E8</v>
      </c>
      <c r="AA34" s="8">
        <v>2.94783E8</v>
      </c>
      <c r="AB34" s="8">
        <v>2.79489E8</v>
      </c>
      <c r="AC34" s="8">
        <v>4.14176E8</v>
      </c>
      <c r="AD34" s="8">
        <v>2.35315E8</v>
      </c>
      <c r="AE34" s="8">
        <v>3.06518E8</v>
      </c>
      <c r="AF34" s="8">
        <v>2.95124E8</v>
      </c>
      <c r="AG34" s="8">
        <v>3.76175E8</v>
      </c>
      <c r="AH34" s="8">
        <v>2.53321E8</v>
      </c>
      <c r="AI34" s="8">
        <v>2.82349E8</v>
      </c>
      <c r="AJ34" s="8">
        <v>2.53235E8</v>
      </c>
      <c r="AK34" s="8">
        <v>3.55371E8</v>
      </c>
      <c r="AL34" s="8">
        <v>2.36316E8</v>
      </c>
      <c r="AM34" s="8">
        <v>2.5126E8</v>
      </c>
      <c r="AN34" s="8">
        <v>2.22398E8</v>
      </c>
      <c r="AO34" s="8">
        <v>3.22173E8</v>
      </c>
      <c r="AP34" s="8">
        <v>2.37385E8</v>
      </c>
      <c r="AQ34" s="8">
        <v>2.45475E8</v>
      </c>
      <c r="AR34" s="8">
        <v>2.20083E8</v>
      </c>
      <c r="AS34" s="8">
        <v>3.17422E8</v>
      </c>
      <c r="AT34" s="8">
        <v>2.07685E8</v>
      </c>
      <c r="AU34" s="8">
        <v>2.1414E8</v>
      </c>
      <c r="AV34" s="8">
        <v>2.13415E8</v>
      </c>
      <c r="AW34" s="8">
        <v>2.9251E8</v>
      </c>
      <c r="AX34" s="8">
        <v>1.71164E8</v>
      </c>
      <c r="AY34" s="8">
        <v>1.46042E8</v>
      </c>
      <c r="AZ34" s="8">
        <v>1.56969E8</v>
      </c>
      <c r="BA34" s="8">
        <v>2.22546E8</v>
      </c>
      <c r="BB34" s="8">
        <v>1.2812E8</v>
      </c>
      <c r="BC34" s="8">
        <v>1.41195E8</v>
      </c>
      <c r="BD34" s="8">
        <v>1.35996E8</v>
      </c>
      <c r="BE34" s="8">
        <v>8.7197E7</v>
      </c>
      <c r="BF34" s="8">
        <v>7.5649E7</v>
      </c>
      <c r="BG34" s="8">
        <v>9.359E7</v>
      </c>
      <c r="BH34" s="8">
        <v>8.3006E7</v>
      </c>
      <c r="BI34" s="8">
        <v>8.1854E7</v>
      </c>
      <c r="BJ34" s="8">
        <v>-7306000.0</v>
      </c>
      <c r="BK34" s="8">
        <v>2.7718E7</v>
      </c>
      <c r="BL34" s="8">
        <v>5916000.0</v>
      </c>
      <c r="BM34" s="8">
        <v>5.5389E7</v>
      </c>
      <c r="BN34" s="8">
        <v>-3.3032E7</v>
      </c>
      <c r="BO34" s="8">
        <v>-6.8818E7</v>
      </c>
      <c r="BP34" s="8">
        <v>3.4875E7</v>
      </c>
      <c r="BQ34" s="8">
        <v>5.009E7</v>
      </c>
      <c r="BR34" s="8">
        <v>-5285000.0</v>
      </c>
      <c r="BS34" s="8">
        <v>4.5468E7</v>
      </c>
      <c r="BT34" s="8">
        <v>4.767E7</v>
      </c>
      <c r="BU34" s="8">
        <v>1.45272E8</v>
      </c>
      <c r="BV34" s="8">
        <v>6.4425E7</v>
      </c>
      <c r="BW34" s="8">
        <v>7.5558E7</v>
      </c>
      <c r="BX34" s="8">
        <v>6.49E7</v>
      </c>
      <c r="BY34" s="8">
        <v>1.33893E8</v>
      </c>
      <c r="BZ34" s="8">
        <v>7.1126E7</v>
      </c>
      <c r="CA34" s="8">
        <v>7.1322E7</v>
      </c>
      <c r="CB34" s="8">
        <v>6.7849E7</v>
      </c>
      <c r="CC34" s="8">
        <v>1.02829E8</v>
      </c>
      <c r="CD34" s="8">
        <v>7.7903E7</v>
      </c>
      <c r="CE34" s="8">
        <v>5.9936E7</v>
      </c>
      <c r="CF34" s="8">
        <v>6.0332E7</v>
      </c>
      <c r="CG34" s="8">
        <v>1.08086E8</v>
      </c>
      <c r="CH34" s="8">
        <v>6.857E7</v>
      </c>
      <c r="CI34" s="8">
        <v>4.2362E7</v>
      </c>
      <c r="CJ34" s="8">
        <v>4.5928E7</v>
      </c>
      <c r="CK34" s="8">
        <v>9.7443E7</v>
      </c>
      <c r="CL34" s="8">
        <v>4.6737E7</v>
      </c>
      <c r="CM34" s="8">
        <v>2.71E7</v>
      </c>
      <c r="CN34" s="8">
        <v>3.6233E7</v>
      </c>
      <c r="CO34" s="8">
        <v>-6.3998E7</v>
      </c>
      <c r="CP34" s="8">
        <v>5.099E7</v>
      </c>
      <c r="CQ34" s="8">
        <v>3.931E7</v>
      </c>
      <c r="CR34" s="8">
        <v>4.434E7</v>
      </c>
      <c r="CS34" s="8">
        <v>9.0627E7</v>
      </c>
      <c r="CT34" s="8">
        <v>5.09E7</v>
      </c>
      <c r="CU34" s="8">
        <v>4.16E7</v>
      </c>
      <c r="CV34" s="8">
        <v>3.63E7</v>
      </c>
      <c r="CW34" s="8">
        <v>7.8033E7</v>
      </c>
      <c r="CX34" s="8">
        <v>4.03E7</v>
      </c>
      <c r="CY34" s="8">
        <v>3.33E7</v>
      </c>
      <c r="CZ34" s="8">
        <v>3.04E7</v>
      </c>
      <c r="DA34" s="8">
        <v>6.5028E7</v>
      </c>
      <c r="DB34" s="8">
        <v>3.36E7</v>
      </c>
      <c r="DC34" s="8">
        <v>2.67E7</v>
      </c>
      <c r="DD34" s="8">
        <v>1.93E7</v>
      </c>
      <c r="DE34" s="8">
        <v>5.15E7</v>
      </c>
      <c r="DF34" s="8">
        <v>2.66E7</v>
      </c>
      <c r="DG34" s="8">
        <v>2.19E7</v>
      </c>
      <c r="DH34" s="8">
        <v>1.5E7</v>
      </c>
      <c r="DI34" s="8">
        <v>3.8518E7</v>
      </c>
      <c r="DJ34" s="8">
        <v>2.0E7</v>
      </c>
      <c r="DK34" s="8">
        <v>1.77E7</v>
      </c>
      <c r="DL34" s="8">
        <v>1.16E7</v>
      </c>
      <c r="DM34" s="8">
        <v>3.2834E7</v>
      </c>
      <c r="DN34" s="8">
        <v>1.73E7</v>
      </c>
      <c r="DO34" s="8">
        <v>1.4E7</v>
      </c>
      <c r="DP34" s="8">
        <v>9500000.0</v>
      </c>
      <c r="DQ34" s="8">
        <v>2.21E7</v>
      </c>
      <c r="DR34" s="8">
        <v>1.1E7</v>
      </c>
      <c r="DS34" s="8">
        <v>9600000.0</v>
      </c>
      <c r="DT34" s="8">
        <v>5900000.0</v>
      </c>
      <c r="DU34" s="8">
        <v>1.68E7</v>
      </c>
      <c r="DV34" s="8">
        <v>8300000.0</v>
      </c>
      <c r="DW34" s="8">
        <v>6700000.0</v>
      </c>
      <c r="DX34" s="8">
        <v>3900000.0</v>
      </c>
      <c r="DY34" s="8">
        <v>1.23E7</v>
      </c>
      <c r="DZ34" s="8">
        <v>4300000.0</v>
      </c>
      <c r="EA34" s="8">
        <v>3800000.0</v>
      </c>
      <c r="EB34" s="8">
        <v>1200000.0</v>
      </c>
      <c r="EC34" s="8">
        <v>8900000.0</v>
      </c>
      <c r="ED34" s="8">
        <v>2800000.0</v>
      </c>
      <c r="EE34" s="8">
        <v>2500000.0</v>
      </c>
      <c r="EF34" s="8">
        <v>400000.0</v>
      </c>
      <c r="EG34" s="8">
        <v>7300000.0</v>
      </c>
      <c r="EH34" s="8">
        <v>2800000.0</v>
      </c>
      <c r="EI34" s="8">
        <v>2800000.0</v>
      </c>
      <c r="EJ34" s="8">
        <v>-400000.0</v>
      </c>
      <c r="EK34" s="8">
        <v>6200000.0</v>
      </c>
      <c r="EL34" s="8">
        <v>2500000.0</v>
      </c>
      <c r="EM34" s="8">
        <v>2400000.0</v>
      </c>
      <c r="EN34" s="8">
        <v>-800000.0</v>
      </c>
      <c r="EO34" s="8">
        <v>5300000.0</v>
      </c>
      <c r="EP34" s="8">
        <v>700000.0</v>
      </c>
      <c r="EQ34" s="8">
        <v>2000000.0</v>
      </c>
      <c r="ER34" s="8">
        <v>-1500000.0</v>
      </c>
      <c r="ES34" s="8">
        <v>2500000.0</v>
      </c>
      <c r="ET34" s="8">
        <v>1100000.0</v>
      </c>
      <c r="EU34" s="8">
        <v>2400000.0</v>
      </c>
      <c r="EV34" s="8">
        <v>-1700000.0</v>
      </c>
      <c r="EW34" s="8">
        <v>7600000.0</v>
      </c>
      <c r="EX34" s="8">
        <v>4100000.0</v>
      </c>
      <c r="EY34" s="5"/>
      <c r="EZ34" s="5"/>
    </row>
    <row r="35">
      <c r="A35" s="5" t="s">
        <v>119</v>
      </c>
      <c r="B35" s="8">
        <v>2.168517E9</v>
      </c>
      <c r="C35" s="8">
        <v>4.68835E8</v>
      </c>
      <c r="D35" s="8">
        <v>5.1438E8</v>
      </c>
      <c r="E35" s="8">
        <v>6.59135E8</v>
      </c>
      <c r="F35" s="8">
        <v>5.26167E8</v>
      </c>
      <c r="G35" s="8">
        <v>6.7803E8</v>
      </c>
      <c r="H35" s="8">
        <v>5.52657E8</v>
      </c>
      <c r="I35" s="8">
        <v>5.97433E8</v>
      </c>
      <c r="J35" s="8">
        <v>4.87031E8</v>
      </c>
      <c r="K35" s="8">
        <v>6.37019E8</v>
      </c>
      <c r="L35" s="8">
        <v>6.77749E8</v>
      </c>
      <c r="M35" s="8">
        <v>6.42743E8</v>
      </c>
      <c r="N35" s="8">
        <v>5.7426E8</v>
      </c>
      <c r="O35" s="8">
        <v>7.87601E8</v>
      </c>
      <c r="P35" s="8">
        <v>6.50446E8</v>
      </c>
      <c r="Q35" s="8">
        <v>5.35437E8</v>
      </c>
      <c r="R35" s="8">
        <v>3.6555E8</v>
      </c>
      <c r="S35" s="8">
        <v>4.26555E8</v>
      </c>
      <c r="T35" s="8">
        <v>3.85013E8</v>
      </c>
      <c r="U35" s="8">
        <v>4.83241E8</v>
      </c>
      <c r="V35" s="8">
        <v>3.34142E8</v>
      </c>
      <c r="W35" s="8">
        <v>4.07237E8</v>
      </c>
      <c r="X35" s="8">
        <v>3.64852E8</v>
      </c>
      <c r="Y35" s="8">
        <v>7.12155E8</v>
      </c>
      <c r="Z35" s="8">
        <v>2.52533E8</v>
      </c>
      <c r="AA35" s="8">
        <v>2.94783E8</v>
      </c>
      <c r="AB35" s="8">
        <v>2.79489E8</v>
      </c>
      <c r="AC35" s="8">
        <v>4.14176E8</v>
      </c>
      <c r="AD35" s="8">
        <v>2.35315E8</v>
      </c>
      <c r="AE35" s="8">
        <v>3.06518E8</v>
      </c>
      <c r="AF35" s="8">
        <v>2.95124E8</v>
      </c>
      <c r="AG35" s="8">
        <v>3.76175E8</v>
      </c>
      <c r="AH35" s="8">
        <v>2.53321E8</v>
      </c>
      <c r="AI35" s="8">
        <v>2.82349E8</v>
      </c>
      <c r="AJ35" s="8">
        <v>2.53235E8</v>
      </c>
      <c r="AK35" s="8">
        <v>3.55371E8</v>
      </c>
      <c r="AL35" s="8">
        <v>2.36316E8</v>
      </c>
      <c r="AM35" s="8">
        <v>2.5126E8</v>
      </c>
      <c r="AN35" s="8">
        <v>2.22398E8</v>
      </c>
      <c r="AO35" s="8">
        <v>3.22173E8</v>
      </c>
      <c r="AP35" s="8">
        <v>2.37385E8</v>
      </c>
      <c r="AQ35" s="8">
        <v>2.45475E8</v>
      </c>
      <c r="AR35" s="8">
        <v>2.20083E8</v>
      </c>
      <c r="AS35" s="8">
        <v>3.17422E8</v>
      </c>
      <c r="AT35" s="11">
        <v>2.08766174567E8</v>
      </c>
      <c r="AU35" s="11">
        <v>2.31638687594E8</v>
      </c>
      <c r="AV35" s="11">
        <v>2.1444693905E8</v>
      </c>
      <c r="AW35" s="11">
        <v>2.92541867918E8</v>
      </c>
      <c r="AX35" s="11">
        <v>1.71197323386E8</v>
      </c>
      <c r="AY35" s="11">
        <v>1.82835691196E8</v>
      </c>
      <c r="AZ35" s="11">
        <v>1.58374319568E8</v>
      </c>
      <c r="BA35" s="11">
        <v>2.22622651298E8</v>
      </c>
      <c r="BB35" s="11">
        <v>1.33474734032E8</v>
      </c>
      <c r="BC35" s="11">
        <v>1.45291502381E8</v>
      </c>
      <c r="BD35" s="11">
        <v>1.36086221809E8</v>
      </c>
      <c r="BE35" s="11">
        <v>1.20905257673E8</v>
      </c>
      <c r="BF35" s="8">
        <v>7.598245E7</v>
      </c>
      <c r="BG35" s="11">
        <v>9.2051388161E7</v>
      </c>
      <c r="BH35" s="11">
        <v>8.4038149559E7</v>
      </c>
      <c r="BI35" s="11">
        <v>7.8087045886E7</v>
      </c>
      <c r="BJ35" s="8">
        <v>1.52919E7</v>
      </c>
      <c r="BK35" s="11">
        <v>2.7899692094E7</v>
      </c>
      <c r="BL35" s="8">
        <v>5916000.0</v>
      </c>
      <c r="BM35" s="11">
        <v>5.2498630219E7</v>
      </c>
      <c r="BN35" s="11">
        <v>-2.8693392294E7</v>
      </c>
      <c r="BO35" s="11">
        <v>-6.9257813411E7</v>
      </c>
      <c r="BP35" s="8">
        <v>3.4875E7</v>
      </c>
      <c r="BQ35" s="8">
        <v>5.009E7</v>
      </c>
      <c r="BR35" s="8">
        <v>-5285000.0</v>
      </c>
      <c r="BS35" s="8">
        <v>4.5468E7</v>
      </c>
      <c r="BT35" s="8">
        <v>4.767E7</v>
      </c>
      <c r="BU35" s="8">
        <v>1.45272E8</v>
      </c>
      <c r="BV35" s="8">
        <v>6.4425E7</v>
      </c>
      <c r="BW35" s="8">
        <v>7.5558E7</v>
      </c>
      <c r="BX35" s="8">
        <v>6.49E7</v>
      </c>
      <c r="BY35" s="8">
        <v>1.33893E8</v>
      </c>
      <c r="BZ35" s="8">
        <v>7.1126E7</v>
      </c>
      <c r="CA35" s="8">
        <v>7.1322E7</v>
      </c>
      <c r="CB35" s="8">
        <v>6.7849E7</v>
      </c>
      <c r="CC35" s="11">
        <v>1.08916942406E8</v>
      </c>
      <c r="CD35" s="8">
        <v>7.7903E7</v>
      </c>
      <c r="CE35" s="8">
        <v>5.9936E7</v>
      </c>
      <c r="CF35" s="8">
        <v>6.0332E7</v>
      </c>
      <c r="CG35" s="8">
        <v>1.08086E8</v>
      </c>
      <c r="CH35" s="11">
        <v>5.251294319E7</v>
      </c>
      <c r="CI35" s="11">
        <v>3.9513517416E7</v>
      </c>
      <c r="CJ35" s="8">
        <v>4.5928E7</v>
      </c>
      <c r="CK35" s="8">
        <v>9.7443E7</v>
      </c>
      <c r="CL35" s="8">
        <v>4.6737E7</v>
      </c>
      <c r="CM35" s="8">
        <v>2.71E7</v>
      </c>
      <c r="CN35" s="8">
        <v>3.6233E7</v>
      </c>
      <c r="CO35" s="8">
        <v>-6.3998E7</v>
      </c>
      <c r="CP35" s="8">
        <v>5.099E7</v>
      </c>
      <c r="CQ35" s="8">
        <v>3.931E7</v>
      </c>
      <c r="CR35" s="8">
        <v>4.434E7</v>
      </c>
      <c r="CS35" s="8">
        <v>9.0627E7</v>
      </c>
      <c r="CT35" s="8">
        <v>5.09E7</v>
      </c>
      <c r="CU35" s="8">
        <v>4.16E7</v>
      </c>
      <c r="CV35" s="8">
        <v>3.63E7</v>
      </c>
      <c r="CW35" s="8">
        <v>7.8033E7</v>
      </c>
      <c r="CX35" s="8">
        <v>4.03E7</v>
      </c>
      <c r="CY35" s="8">
        <v>3.33E7</v>
      </c>
      <c r="CZ35" s="8">
        <v>3.04E7</v>
      </c>
      <c r="DA35" s="8">
        <v>6.5028E7</v>
      </c>
      <c r="DB35" s="8">
        <v>3.36E7</v>
      </c>
      <c r="DC35" s="8">
        <v>2.67E7</v>
      </c>
      <c r="DD35" s="8">
        <v>1.93E7</v>
      </c>
      <c r="DE35" s="8">
        <v>5.15E7</v>
      </c>
      <c r="DF35" s="8">
        <v>2.66E7</v>
      </c>
      <c r="DG35" s="8">
        <v>2.19E7</v>
      </c>
      <c r="DH35" s="8">
        <v>1.5E7</v>
      </c>
      <c r="DI35" s="8">
        <v>3.8518E7</v>
      </c>
      <c r="DJ35" s="8">
        <v>2.0E7</v>
      </c>
      <c r="DK35" s="8">
        <v>1.77E7</v>
      </c>
      <c r="DL35" s="8">
        <v>1.16E7</v>
      </c>
      <c r="DM35" s="8">
        <v>3.2834E7</v>
      </c>
      <c r="DN35" s="8">
        <v>1.73E7</v>
      </c>
      <c r="DO35" s="8">
        <v>1.4E7</v>
      </c>
      <c r="DP35" s="8">
        <v>9500000.0</v>
      </c>
      <c r="DQ35" s="8">
        <v>2.21E7</v>
      </c>
      <c r="DR35" s="8">
        <v>1.1E7</v>
      </c>
      <c r="DS35" s="8">
        <v>9600000.0</v>
      </c>
      <c r="DT35" s="8">
        <v>5900000.0</v>
      </c>
      <c r="DU35" s="8">
        <v>1.68E7</v>
      </c>
      <c r="DV35" s="8">
        <v>8300000.0</v>
      </c>
      <c r="DW35" s="8">
        <v>6700000.0</v>
      </c>
      <c r="DX35" s="8">
        <v>3900000.0</v>
      </c>
      <c r="DY35" s="8">
        <v>1.23E7</v>
      </c>
      <c r="DZ35" s="8">
        <v>4300000.0</v>
      </c>
      <c r="EA35" s="8">
        <v>3800000.0</v>
      </c>
      <c r="EB35" s="8">
        <v>1200000.0</v>
      </c>
      <c r="EC35" s="8">
        <v>8900000.0</v>
      </c>
      <c r="ED35" s="8">
        <v>2800000.0</v>
      </c>
      <c r="EE35" s="8">
        <v>2500000.0</v>
      </c>
      <c r="EF35" s="8">
        <v>400000.0</v>
      </c>
      <c r="EG35" s="8">
        <v>7300000.0</v>
      </c>
      <c r="EH35" s="8">
        <v>2800000.0</v>
      </c>
      <c r="EI35" s="8">
        <v>2800000.0</v>
      </c>
      <c r="EJ35" s="8">
        <v>-400000.0</v>
      </c>
      <c r="EK35" s="8">
        <v>6200000.0</v>
      </c>
      <c r="EL35" s="8">
        <v>2500000.0</v>
      </c>
      <c r="EM35" s="8">
        <v>2400000.0</v>
      </c>
      <c r="EN35" s="8">
        <v>-800000.0</v>
      </c>
      <c r="EO35" s="8">
        <v>5300000.0</v>
      </c>
      <c r="EP35" s="8">
        <v>700000.0</v>
      </c>
      <c r="EQ35" s="8">
        <v>2000000.0</v>
      </c>
      <c r="ER35" s="8">
        <v>-1500000.0</v>
      </c>
      <c r="ES35" s="8">
        <v>2500000.0</v>
      </c>
      <c r="ET35" s="8">
        <v>1100000.0</v>
      </c>
      <c r="EU35" s="8">
        <v>2400000.0</v>
      </c>
      <c r="EV35" s="8">
        <v>-1700000.0</v>
      </c>
      <c r="EW35" s="8">
        <v>7600000.0</v>
      </c>
      <c r="EX35" s="8">
        <v>4100000.0</v>
      </c>
      <c r="EY35" s="5"/>
      <c r="EZ35" s="5"/>
    </row>
    <row r="36">
      <c r="A36" s="5" t="s">
        <v>120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8">
        <v>36000.0</v>
      </c>
      <c r="AX36" s="8">
        <v>10000.0</v>
      </c>
      <c r="AY36" s="8">
        <v>26000.0</v>
      </c>
      <c r="AZ36" s="8">
        <v>19000.0</v>
      </c>
      <c r="BA36" s="8">
        <v>92000.0</v>
      </c>
      <c r="BB36" s="8">
        <v>90000.0</v>
      </c>
      <c r="BC36" s="8">
        <v>32000.0</v>
      </c>
      <c r="BD36" s="8">
        <v>6000.0</v>
      </c>
      <c r="BE36" s="8">
        <v>9000.0</v>
      </c>
      <c r="BF36" s="8">
        <v>26000.0</v>
      </c>
      <c r="BG36" s="8">
        <v>15000.0</v>
      </c>
      <c r="BH36" s="8">
        <v>94000.0</v>
      </c>
      <c r="BI36" s="8">
        <v>268000.0</v>
      </c>
      <c r="BJ36" s="8">
        <v>619000.0</v>
      </c>
      <c r="BK36" s="8">
        <v>1217000.0</v>
      </c>
      <c r="BL36" s="8">
        <v>957000.0</v>
      </c>
      <c r="BM36" s="8">
        <v>1378000.0</v>
      </c>
      <c r="BN36" s="8">
        <v>1388000.0</v>
      </c>
      <c r="BO36" s="8">
        <v>3506000.0</v>
      </c>
      <c r="BP36" s="8">
        <v>2573000.0</v>
      </c>
      <c r="BQ36" s="8">
        <v>2210000.0</v>
      </c>
      <c r="BR36" s="8">
        <v>885000.0</v>
      </c>
      <c r="BS36" s="8">
        <v>1457000.0</v>
      </c>
      <c r="BT36" s="8">
        <v>2450000.0</v>
      </c>
      <c r="BU36" s="8">
        <v>2559000.0</v>
      </c>
      <c r="BV36" s="8">
        <v>1670000.0</v>
      </c>
      <c r="BW36" s="8">
        <v>2156000.0</v>
      </c>
      <c r="BX36" s="8">
        <v>2616000.0</v>
      </c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</row>
    <row r="37">
      <c r="A37" s="5" t="s">
        <v>121</v>
      </c>
      <c r="B37" s="8">
        <v>2.95874E8</v>
      </c>
      <c r="C37" s="8">
        <v>8.4337E7</v>
      </c>
      <c r="D37" s="8">
        <v>8.3038E7</v>
      </c>
      <c r="E37" s="8">
        <v>7.4818E7</v>
      </c>
      <c r="F37" s="8">
        <v>5.3681E7</v>
      </c>
      <c r="G37" s="8">
        <v>4.3098E7</v>
      </c>
      <c r="H37" s="8">
        <v>3.9676E7</v>
      </c>
      <c r="I37" s="8">
        <v>3.8506E7</v>
      </c>
      <c r="J37" s="8">
        <v>3.9198E7</v>
      </c>
      <c r="K37" s="8">
        <v>3.943E7</v>
      </c>
      <c r="L37" s="8">
        <v>4.0392E7</v>
      </c>
      <c r="M37" s="8">
        <v>4.0268E7</v>
      </c>
      <c r="N37" s="8">
        <v>4.0298E7</v>
      </c>
      <c r="O37" s="8">
        <v>3.9326E7</v>
      </c>
      <c r="P37" s="8">
        <v>3.0493E7</v>
      </c>
      <c r="Q37" s="8">
        <v>2.5567E7</v>
      </c>
      <c r="R37" s="8">
        <v>2.4264E7</v>
      </c>
      <c r="S37" s="8">
        <v>2.481E7</v>
      </c>
      <c r="T37" s="8">
        <v>2.5933E7</v>
      </c>
      <c r="U37" s="8">
        <v>2.5061E7</v>
      </c>
      <c r="V37" s="8">
        <v>2.4586E7</v>
      </c>
      <c r="W37" s="8">
        <v>2.5451E7</v>
      </c>
      <c r="X37" s="8">
        <v>2.4773E7</v>
      </c>
      <c r="Y37" s="8">
        <v>2.4289E7</v>
      </c>
      <c r="Z37" s="8">
        <v>2.3995E7</v>
      </c>
      <c r="AA37" s="8">
        <v>2.3748E7</v>
      </c>
      <c r="AB37" s="8">
        <v>2.5004E7</v>
      </c>
      <c r="AC37" s="8">
        <v>2.5511E7</v>
      </c>
      <c r="AD37" s="8">
        <v>2.3877E7</v>
      </c>
      <c r="AE37" s="8">
        <v>2.4352E7</v>
      </c>
      <c r="AF37" s="8">
        <v>2.4081E7</v>
      </c>
      <c r="AG37" s="8">
        <v>2.3275E7</v>
      </c>
      <c r="AH37" s="8">
        <v>2.1394E7</v>
      </c>
      <c r="AI37" s="8">
        <v>2.0699E7</v>
      </c>
      <c r="AJ37" s="8">
        <v>2.1576E7</v>
      </c>
      <c r="AK37" s="8">
        <v>2.1532E7</v>
      </c>
      <c r="AL37" s="8">
        <v>2.1835E7</v>
      </c>
      <c r="AM37" s="8">
        <v>2.2598E7</v>
      </c>
      <c r="AN37" s="8">
        <v>2.2267E7</v>
      </c>
      <c r="AO37" s="8">
        <v>2.2313E7</v>
      </c>
      <c r="AP37" s="8">
        <v>2.1524E7</v>
      </c>
      <c r="AQ37" s="8">
        <v>2.0631E7</v>
      </c>
      <c r="AR37" s="8">
        <v>2.4516E7</v>
      </c>
      <c r="AS37" s="8">
        <v>2.746E7</v>
      </c>
      <c r="AT37" s="8">
        <v>2.7726E7</v>
      </c>
      <c r="AU37" s="8">
        <v>3.5666E7</v>
      </c>
      <c r="AV37" s="8">
        <v>3.7074E7</v>
      </c>
      <c r="AW37" s="8">
        <v>4.0105E7</v>
      </c>
      <c r="AX37" s="8">
        <v>3.8642E7</v>
      </c>
      <c r="AY37" s="8">
        <v>6.0653E7</v>
      </c>
      <c r="AZ37" s="8">
        <v>6.5591E7</v>
      </c>
      <c r="BA37" s="8">
        <v>6.5629E7</v>
      </c>
      <c r="BB37" s="8">
        <v>6.7235E7</v>
      </c>
      <c r="BC37" s="8">
        <v>6.933E7</v>
      </c>
      <c r="BD37" s="8">
        <v>7.2018E7</v>
      </c>
      <c r="BE37" s="8">
        <v>7.8952E7</v>
      </c>
      <c r="BF37" s="8">
        <v>8.7612E7</v>
      </c>
      <c r="BG37" s="8">
        <v>8.9945E7</v>
      </c>
      <c r="BH37" s="8">
        <v>8.9235E7</v>
      </c>
      <c r="BI37" s="8">
        <v>9.3234E7</v>
      </c>
      <c r="BJ37" s="8">
        <v>9.8393E7</v>
      </c>
      <c r="BK37" s="8">
        <v>9.9434E7</v>
      </c>
      <c r="BL37" s="8">
        <v>1.00871E8</v>
      </c>
      <c r="BM37" s="8">
        <v>1.0442E8</v>
      </c>
      <c r="BN37" s="8">
        <v>1.11957E8</v>
      </c>
      <c r="BO37" s="8">
        <v>4.0652E7</v>
      </c>
      <c r="BP37" s="8">
        <v>6167000.0</v>
      </c>
      <c r="BQ37" s="8">
        <v>7891000.0</v>
      </c>
      <c r="BR37" s="8">
        <v>1.0904E7</v>
      </c>
      <c r="BS37" s="8">
        <v>8873000.0</v>
      </c>
      <c r="BT37" s="8">
        <v>7247000.0</v>
      </c>
      <c r="BU37" s="8">
        <v>7593000.0</v>
      </c>
      <c r="BV37" s="8">
        <v>5321000.0</v>
      </c>
      <c r="BW37" s="8">
        <v>7344000.0</v>
      </c>
      <c r="BX37" s="8">
        <v>5968000.0</v>
      </c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8">
        <v>1.1337E7</v>
      </c>
      <c r="CJ37" s="8">
        <v>1.0432E7</v>
      </c>
      <c r="CK37" s="8">
        <v>1.0752E7</v>
      </c>
      <c r="CL37" s="8">
        <v>1.148E7</v>
      </c>
      <c r="CM37" s="8">
        <v>1.1957E7</v>
      </c>
      <c r="CN37" s="8">
        <v>1.16E7</v>
      </c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</row>
    <row r="38">
      <c r="A38" s="5" t="s">
        <v>122</v>
      </c>
      <c r="B38" s="8">
        <v>-2.95874E8</v>
      </c>
      <c r="C38" s="8">
        <v>-8.4337E7</v>
      </c>
      <c r="D38" s="8">
        <v>-8.3038E7</v>
      </c>
      <c r="E38" s="8">
        <v>-7.4818E7</v>
      </c>
      <c r="F38" s="8">
        <v>-5.3681E7</v>
      </c>
      <c r="G38" s="8">
        <v>-4.3098E7</v>
      </c>
      <c r="H38" s="8">
        <v>-3.9676E7</v>
      </c>
      <c r="I38" s="8">
        <v>-3.8506E7</v>
      </c>
      <c r="J38" s="8">
        <v>-3.9198E7</v>
      </c>
      <c r="K38" s="8">
        <v>-3.943E7</v>
      </c>
      <c r="L38" s="8">
        <v>-4.0392E7</v>
      </c>
      <c r="M38" s="8">
        <v>-4.0268E7</v>
      </c>
      <c r="N38" s="8">
        <v>-4.0298E7</v>
      </c>
      <c r="O38" s="8">
        <v>-3.9326E7</v>
      </c>
      <c r="P38" s="8">
        <v>-3.0493E7</v>
      </c>
      <c r="Q38" s="8">
        <v>-2.5567E7</v>
      </c>
      <c r="R38" s="8">
        <v>-2.4264E7</v>
      </c>
      <c r="S38" s="8">
        <v>-2.481E7</v>
      </c>
      <c r="T38" s="8">
        <v>-2.5933E7</v>
      </c>
      <c r="U38" s="8">
        <v>-2.5061E7</v>
      </c>
      <c r="V38" s="8">
        <v>-2.4586E7</v>
      </c>
      <c r="W38" s="8">
        <v>-2.5451E7</v>
      </c>
      <c r="X38" s="8">
        <v>-2.4773E7</v>
      </c>
      <c r="Y38" s="8">
        <v>-2.4289E7</v>
      </c>
      <c r="Z38" s="8">
        <v>-2.3995E7</v>
      </c>
      <c r="AA38" s="8">
        <v>-2.3748E7</v>
      </c>
      <c r="AB38" s="8">
        <v>-2.5004E7</v>
      </c>
      <c r="AC38" s="8">
        <v>-2.5511E7</v>
      </c>
      <c r="AD38" s="8">
        <v>-2.3877E7</v>
      </c>
      <c r="AE38" s="8">
        <v>-2.4352E7</v>
      </c>
      <c r="AF38" s="8">
        <v>-2.4081E7</v>
      </c>
      <c r="AG38" s="8">
        <v>-2.3275E7</v>
      </c>
      <c r="AH38" s="8">
        <v>-2.1394E7</v>
      </c>
      <c r="AI38" s="8">
        <v>-2.0699E7</v>
      </c>
      <c r="AJ38" s="8">
        <v>-2.1576E7</v>
      </c>
      <c r="AK38" s="8">
        <v>-2.1532E7</v>
      </c>
      <c r="AL38" s="8">
        <v>-2.1835E7</v>
      </c>
      <c r="AM38" s="8">
        <v>-2.2598E7</v>
      </c>
      <c r="AN38" s="8">
        <v>-2.2267E7</v>
      </c>
      <c r="AO38" s="8">
        <v>-2.2313E7</v>
      </c>
      <c r="AP38" s="8">
        <v>-2.1524E7</v>
      </c>
      <c r="AQ38" s="8">
        <v>-2.0631E7</v>
      </c>
      <c r="AR38" s="8">
        <v>-2.4516E7</v>
      </c>
      <c r="AS38" s="8">
        <v>-2.746E7</v>
      </c>
      <c r="AT38" s="8">
        <v>-2.7726E7</v>
      </c>
      <c r="AU38" s="8">
        <v>-3.5666E7</v>
      </c>
      <c r="AV38" s="8">
        <v>-3.7074E7</v>
      </c>
      <c r="AW38" s="8">
        <v>-4.0069E7</v>
      </c>
      <c r="AX38" s="8">
        <v>-3.8632E7</v>
      </c>
      <c r="AY38" s="8">
        <v>-6.0627E7</v>
      </c>
      <c r="AZ38" s="8">
        <v>-6.5572E7</v>
      </c>
      <c r="BA38" s="8">
        <v>-6.5537E7</v>
      </c>
      <c r="BB38" s="8">
        <v>-6.7145E7</v>
      </c>
      <c r="BC38" s="8">
        <v>-6.9298E7</v>
      </c>
      <c r="BD38" s="8">
        <v>-7.2012E7</v>
      </c>
      <c r="BE38" s="8">
        <v>-7.8943E7</v>
      </c>
      <c r="BF38" s="8">
        <v>-8.7586E7</v>
      </c>
      <c r="BG38" s="8">
        <v>-8.993E7</v>
      </c>
      <c r="BH38" s="8">
        <v>-8.9141E7</v>
      </c>
      <c r="BI38" s="8">
        <v>-9.2966E7</v>
      </c>
      <c r="BJ38" s="8">
        <v>-9.7774E7</v>
      </c>
      <c r="BK38" s="8">
        <v>-9.8217E7</v>
      </c>
      <c r="BL38" s="8">
        <v>-9.9914E7</v>
      </c>
      <c r="BM38" s="8">
        <v>-1.03042E8</v>
      </c>
      <c r="BN38" s="8">
        <v>-1.10569E8</v>
      </c>
      <c r="BO38" s="8">
        <v>-3.7146E7</v>
      </c>
      <c r="BP38" s="8">
        <v>-3594000.0</v>
      </c>
      <c r="BQ38" s="8">
        <v>-5681000.0</v>
      </c>
      <c r="BR38" s="8">
        <v>-1.0019E7</v>
      </c>
      <c r="BS38" s="8">
        <v>-7416000.0</v>
      </c>
      <c r="BT38" s="8">
        <v>-4797000.0</v>
      </c>
      <c r="BU38" s="8">
        <v>-5034000.0</v>
      </c>
      <c r="BV38" s="8">
        <v>-3651000.0</v>
      </c>
      <c r="BW38" s="8">
        <v>-5188000.0</v>
      </c>
      <c r="BX38" s="8">
        <v>-3352000.0</v>
      </c>
      <c r="BY38" s="8">
        <v>-5372000.0</v>
      </c>
      <c r="BZ38" s="8">
        <v>-6364000.0</v>
      </c>
      <c r="CA38" s="8">
        <v>-4041000.0</v>
      </c>
      <c r="CB38" s="8">
        <v>-6442000.0</v>
      </c>
      <c r="CC38" s="8">
        <v>-6217000.0</v>
      </c>
      <c r="CD38" s="8">
        <v>-7976000.0</v>
      </c>
      <c r="CE38" s="8">
        <v>-7899000.0</v>
      </c>
      <c r="CF38" s="8">
        <v>-9411000.0</v>
      </c>
      <c r="CG38" s="8">
        <v>-9333000.0</v>
      </c>
      <c r="CH38" s="8">
        <v>-1.1537E7</v>
      </c>
      <c r="CI38" s="8">
        <v>-1.1337E7</v>
      </c>
      <c r="CJ38" s="8">
        <v>-1.0432E7</v>
      </c>
      <c r="CK38" s="8">
        <v>-1.0752E7</v>
      </c>
      <c r="CL38" s="8">
        <v>-1.148E7</v>
      </c>
      <c r="CM38" s="8">
        <v>-1.1957E7</v>
      </c>
      <c r="CN38" s="8">
        <v>-1.16E7</v>
      </c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</row>
    <row r="39">
      <c r="A39" s="5" t="s">
        <v>123</v>
      </c>
      <c r="B39" s="8">
        <v>3.101476E9</v>
      </c>
      <c r="C39" s="8">
        <v>6.92314E8</v>
      </c>
      <c r="D39" s="8">
        <v>7.40858E8</v>
      </c>
      <c r="E39" s="8">
        <v>9.33174E8</v>
      </c>
      <c r="F39" s="8">
        <v>7.3513E8</v>
      </c>
      <c r="G39" s="8">
        <v>9.13426E8</v>
      </c>
      <c r="H39" s="8">
        <v>7.46157E8</v>
      </c>
      <c r="I39" s="8">
        <v>7.96669E8</v>
      </c>
      <c r="J39" s="8">
        <v>6.65588E8</v>
      </c>
      <c r="K39" s="8">
        <v>8.49568E8</v>
      </c>
      <c r="L39" s="8">
        <v>9.0885E8</v>
      </c>
      <c r="M39" s="8">
        <v>8.72224E8</v>
      </c>
      <c r="N39" s="8">
        <v>7.7313E8</v>
      </c>
      <c r="O39" s="8">
        <v>1.042627E9</v>
      </c>
      <c r="P39" s="8">
        <v>8.66784E8</v>
      </c>
      <c r="Q39" s="8">
        <v>7.20875E8</v>
      </c>
      <c r="R39" s="8">
        <v>4.91417E8</v>
      </c>
      <c r="S39" s="8">
        <v>5.77775E8</v>
      </c>
      <c r="T39" s="8">
        <v>5.12237E8</v>
      </c>
      <c r="U39" s="8">
        <v>6.38503E8</v>
      </c>
      <c r="V39" s="8">
        <v>4.42143E8</v>
      </c>
      <c r="W39" s="8">
        <v>5.44457E8</v>
      </c>
      <c r="X39" s="8">
        <v>4.90184E8</v>
      </c>
      <c r="Y39" s="8">
        <v>6.23446E8</v>
      </c>
      <c r="Z39" s="8">
        <v>4.17431E8</v>
      </c>
      <c r="AA39" s="8">
        <v>4.93146E8</v>
      </c>
      <c r="AB39" s="8">
        <v>4.70293E8</v>
      </c>
      <c r="AC39" s="8">
        <v>6.80618E8</v>
      </c>
      <c r="AD39" s="8">
        <v>3.92991E8</v>
      </c>
      <c r="AE39" s="8">
        <v>5.09097E8</v>
      </c>
      <c r="AF39" s="8">
        <v>4.80743E8</v>
      </c>
      <c r="AG39" s="8">
        <v>6.12429E8</v>
      </c>
      <c r="AH39" s="8">
        <v>4.23533E8</v>
      </c>
      <c r="AI39" s="8">
        <v>4.75812E8</v>
      </c>
      <c r="AJ39" s="8">
        <v>4.28194E8</v>
      </c>
      <c r="AK39" s="8">
        <v>5.66716E8</v>
      </c>
      <c r="AL39" s="8">
        <v>3.94143E8</v>
      </c>
      <c r="AM39" s="8">
        <v>4.28526E8</v>
      </c>
      <c r="AN39" s="8">
        <v>3.79708E8</v>
      </c>
      <c r="AO39" s="8">
        <v>5.38122E8</v>
      </c>
      <c r="AP39" s="8">
        <v>3.90241E8</v>
      </c>
      <c r="AQ39" s="8">
        <v>4.12822E8</v>
      </c>
      <c r="AR39" s="8">
        <v>3.76129E8</v>
      </c>
      <c r="AS39" s="8">
        <v>5.22349E8</v>
      </c>
      <c r="AT39" s="8">
        <v>3.59661E8</v>
      </c>
      <c r="AU39" s="8">
        <v>3.60657E8</v>
      </c>
      <c r="AV39" s="8">
        <v>3.82653E8</v>
      </c>
      <c r="AW39" s="8">
        <v>5.08225E8</v>
      </c>
      <c r="AX39" s="8">
        <v>3.10874E8</v>
      </c>
      <c r="AY39" s="8">
        <v>2.91816E8</v>
      </c>
      <c r="AZ39" s="8">
        <v>3.19365E8</v>
      </c>
      <c r="BA39" s="8">
        <v>4.08225E8</v>
      </c>
      <c r="BB39" s="8">
        <v>2.66112E8</v>
      </c>
      <c r="BC39" s="8">
        <v>2.94263E8</v>
      </c>
      <c r="BD39" s="8">
        <v>2.90584E8</v>
      </c>
      <c r="BE39" s="8">
        <v>2.23185E8</v>
      </c>
      <c r="BF39" s="8">
        <v>2.15752E8</v>
      </c>
      <c r="BG39" s="8">
        <v>2.35627E8</v>
      </c>
      <c r="BH39" s="8">
        <v>2.23296E8</v>
      </c>
      <c r="BI39" s="8">
        <v>2.2674E8</v>
      </c>
      <c r="BJ39" s="8">
        <v>1.04085E8</v>
      </c>
      <c r="BK39" s="8">
        <v>1.4398E8</v>
      </c>
      <c r="BL39" s="8">
        <v>1.1153E8</v>
      </c>
      <c r="BM39" s="8">
        <v>1.92437E8</v>
      </c>
      <c r="BN39" s="8">
        <v>6.0307E7</v>
      </c>
      <c r="BO39" s="8">
        <v>-4.8067E7</v>
      </c>
      <c r="BP39" s="8">
        <v>5.7941E7</v>
      </c>
      <c r="BQ39" s="8">
        <v>8.5285E7</v>
      </c>
      <c r="BR39" s="8">
        <v>4224000.0</v>
      </c>
      <c r="BS39" s="8">
        <v>8.2034E7</v>
      </c>
      <c r="BT39" s="8">
        <v>8.3735E7</v>
      </c>
      <c r="BU39" s="8">
        <v>2.34823E8</v>
      </c>
      <c r="BV39" s="8">
        <v>1.03282E8</v>
      </c>
      <c r="BW39" s="8">
        <v>1.23226E8</v>
      </c>
      <c r="BX39" s="8">
        <v>1.09537E8</v>
      </c>
      <c r="BY39" s="8">
        <v>2.26919E8</v>
      </c>
      <c r="BZ39" s="8">
        <v>1.13956E8</v>
      </c>
      <c r="CA39" s="8">
        <v>1.08126E8</v>
      </c>
      <c r="CB39" s="8">
        <v>1.1455E8</v>
      </c>
      <c r="CC39" s="8">
        <v>1.85123E8</v>
      </c>
      <c r="CD39" s="8">
        <v>1.31346E8</v>
      </c>
      <c r="CE39" s="8">
        <v>1.01843E8</v>
      </c>
      <c r="CF39" s="8">
        <v>1.02951E8</v>
      </c>
      <c r="CG39" s="8">
        <v>2.07086E8</v>
      </c>
      <c r="CH39" s="8">
        <v>9.3431E7</v>
      </c>
      <c r="CI39" s="8">
        <v>7.826E7</v>
      </c>
      <c r="CJ39" s="8">
        <v>8.2988E7</v>
      </c>
      <c r="CK39" s="8">
        <v>1.62884E8</v>
      </c>
      <c r="CL39" s="8">
        <v>8.6078E7</v>
      </c>
      <c r="CM39" s="8">
        <v>5.5214E7</v>
      </c>
      <c r="CN39" s="8">
        <v>6.9435E7</v>
      </c>
      <c r="CO39" s="8">
        <v>-6.7655E7</v>
      </c>
      <c r="CP39" s="8">
        <v>8.484E7</v>
      </c>
      <c r="CQ39" s="8">
        <v>6.5988E7</v>
      </c>
      <c r="CR39" s="8">
        <v>7.0831E7</v>
      </c>
      <c r="CS39" s="8">
        <v>1.42202E8</v>
      </c>
      <c r="CT39" s="8">
        <v>8.2E7</v>
      </c>
      <c r="CU39" s="8">
        <v>6.72E7</v>
      </c>
      <c r="CV39" s="8">
        <v>5.79E7</v>
      </c>
      <c r="CW39" s="8">
        <v>1.18564E8</v>
      </c>
      <c r="CX39" s="8">
        <v>6.63E7</v>
      </c>
      <c r="CY39" s="8">
        <v>5.51E7</v>
      </c>
      <c r="CZ39" s="8">
        <v>4.94E7</v>
      </c>
      <c r="DA39" s="8">
        <v>1.05043E8</v>
      </c>
      <c r="DB39" s="8">
        <v>5.56E7</v>
      </c>
      <c r="DC39" s="8">
        <v>4.34E7</v>
      </c>
      <c r="DD39" s="8">
        <v>3.15E7</v>
      </c>
      <c r="DE39" s="8">
        <v>8.3376E7</v>
      </c>
      <c r="DF39" s="8">
        <v>4.45E7</v>
      </c>
      <c r="DG39" s="8">
        <v>3.64E7</v>
      </c>
      <c r="DH39" s="8">
        <v>2.55E7</v>
      </c>
      <c r="DI39" s="8">
        <v>6.3307E7</v>
      </c>
      <c r="DJ39" s="8">
        <v>3.5E7</v>
      </c>
      <c r="DK39" s="8">
        <v>3.05E7</v>
      </c>
      <c r="DL39" s="8">
        <v>2.0E7</v>
      </c>
      <c r="DM39" s="8">
        <v>5.3487E7</v>
      </c>
      <c r="DN39" s="8">
        <v>2.89E7</v>
      </c>
      <c r="DO39" s="8">
        <v>2.31E7</v>
      </c>
      <c r="DP39" s="8">
        <v>1.57E7</v>
      </c>
      <c r="DQ39" s="8">
        <v>3.6E7</v>
      </c>
      <c r="DR39" s="8">
        <v>1.77E7</v>
      </c>
      <c r="DS39" s="8">
        <v>1.63E7</v>
      </c>
      <c r="DT39" s="8">
        <v>1.01E7</v>
      </c>
      <c r="DU39" s="8">
        <v>2.82E7</v>
      </c>
      <c r="DV39" s="8">
        <v>1.44E7</v>
      </c>
      <c r="DW39" s="8">
        <v>1.14E7</v>
      </c>
      <c r="DX39" s="8">
        <v>6900000.0</v>
      </c>
      <c r="DY39" s="8">
        <v>2.02E7</v>
      </c>
      <c r="DZ39" s="8">
        <v>8100000.0</v>
      </c>
      <c r="EA39" s="8">
        <v>6800000.0</v>
      </c>
      <c r="EB39" s="8">
        <v>2600000.0</v>
      </c>
      <c r="EC39" s="8">
        <v>1.48E7</v>
      </c>
      <c r="ED39" s="8">
        <v>6100000.0</v>
      </c>
      <c r="EE39" s="8">
        <v>5700000.0</v>
      </c>
      <c r="EF39" s="8">
        <v>1700000.0</v>
      </c>
      <c r="EG39" s="8">
        <v>1.31E7</v>
      </c>
      <c r="EH39" s="8">
        <v>6000000.0</v>
      </c>
      <c r="EI39" s="8">
        <v>6000000.0</v>
      </c>
      <c r="EJ39" s="8">
        <v>1.299E8</v>
      </c>
      <c r="EK39" s="8">
        <v>-4.004E8</v>
      </c>
      <c r="EL39" s="8">
        <v>1.531E8</v>
      </c>
      <c r="EM39" s="8">
        <v>1.456E8</v>
      </c>
      <c r="EN39" s="8">
        <v>1.242E8</v>
      </c>
      <c r="EO39" s="8">
        <v>-3.806E8</v>
      </c>
      <c r="EP39" s="8">
        <v>1.369E8</v>
      </c>
      <c r="EQ39" s="8">
        <v>1.46E8</v>
      </c>
      <c r="ER39" s="8">
        <v>1.16E8</v>
      </c>
      <c r="ES39" s="8">
        <v>-3.641E8</v>
      </c>
      <c r="ET39" s="8">
        <v>1.34E8</v>
      </c>
      <c r="EU39" s="8">
        <v>1.359E8</v>
      </c>
      <c r="EV39" s="8">
        <v>1.087E8</v>
      </c>
      <c r="EW39" s="8">
        <v>-3.603E8</v>
      </c>
      <c r="EX39" s="8">
        <v>1.387E8</v>
      </c>
      <c r="EY39" s="5"/>
      <c r="EZ39" s="5"/>
    </row>
    <row r="40">
      <c r="A40" s="5" t="s">
        <v>124</v>
      </c>
      <c r="B40" s="8">
        <v>3.886918E9</v>
      </c>
      <c r="C40" s="8">
        <v>9.00694E8</v>
      </c>
      <c r="D40" s="8">
        <v>9.42765E8</v>
      </c>
      <c r="E40" s="8">
        <v>1.125537E9</v>
      </c>
      <c r="F40" s="8">
        <v>9.17922E8</v>
      </c>
      <c r="G40" s="8">
        <v>9.13426E8</v>
      </c>
      <c r="H40" s="8">
        <v>9.1872E8</v>
      </c>
      <c r="I40" s="8">
        <v>7.96669E8</v>
      </c>
      <c r="J40" s="8">
        <v>8.27851E8</v>
      </c>
      <c r="K40" s="8">
        <v>1.008104E9</v>
      </c>
      <c r="L40" s="8">
        <v>1.062996E9</v>
      </c>
      <c r="M40" s="8">
        <v>1.021995E9</v>
      </c>
      <c r="N40" s="8">
        <v>7.7313E8</v>
      </c>
      <c r="O40" s="8">
        <v>1.183589E9</v>
      </c>
      <c r="P40" s="8">
        <v>1.004439E9</v>
      </c>
      <c r="Q40" s="8">
        <v>7.20875E8</v>
      </c>
      <c r="R40" s="8">
        <v>6.17887E8</v>
      </c>
      <c r="S40" s="8">
        <v>7.01198E8</v>
      </c>
      <c r="T40" s="8">
        <v>6.34722E8</v>
      </c>
      <c r="U40" s="8">
        <v>6.38503E8</v>
      </c>
      <c r="V40" s="8">
        <v>5.56995E8</v>
      </c>
      <c r="W40" s="8">
        <v>6.56633E8</v>
      </c>
      <c r="X40" s="8">
        <v>5.99519E8</v>
      </c>
      <c r="Y40" s="8">
        <v>6.23446E8</v>
      </c>
      <c r="Z40" s="8">
        <v>5.18386E8</v>
      </c>
      <c r="AA40" s="8">
        <v>5.92176E8</v>
      </c>
      <c r="AB40" s="8">
        <v>5.68879E8</v>
      </c>
      <c r="AC40" s="8">
        <v>6.80618E8</v>
      </c>
      <c r="AD40" s="8">
        <v>4.88435E8</v>
      </c>
      <c r="AE40" s="8">
        <v>6.03715E8</v>
      </c>
      <c r="AF40" s="8">
        <v>5.73067E8</v>
      </c>
      <c r="AG40" s="8">
        <v>6.12429E8</v>
      </c>
      <c r="AH40" s="8">
        <v>5.12086E8</v>
      </c>
      <c r="AI40" s="8">
        <v>5.63394E8</v>
      </c>
      <c r="AJ40" s="8">
        <v>5.15346E8</v>
      </c>
      <c r="AK40" s="8">
        <v>5.66716E8</v>
      </c>
      <c r="AL40" s="8">
        <v>4.80404E8</v>
      </c>
      <c r="AM40" s="8">
        <v>5.13866E8</v>
      </c>
      <c r="AN40" s="8">
        <v>4.63866E8</v>
      </c>
      <c r="AO40" s="8">
        <v>5.38122E8</v>
      </c>
      <c r="AP40" s="8">
        <v>4.74676E8</v>
      </c>
      <c r="AQ40" s="8">
        <v>4.95566E8</v>
      </c>
      <c r="AR40" s="8">
        <v>4.56622E8</v>
      </c>
      <c r="AS40" s="8">
        <v>6.02862E8</v>
      </c>
      <c r="AT40" s="8">
        <v>4.35799E8</v>
      </c>
      <c r="AU40" s="8">
        <v>4.34646E8</v>
      </c>
      <c r="AV40" s="8">
        <v>4.54924E8</v>
      </c>
      <c r="AW40" s="8">
        <v>5.78862E8</v>
      </c>
      <c r="AX40" s="8">
        <v>3.79774E8</v>
      </c>
      <c r="AY40" s="8">
        <v>3.60201E8</v>
      </c>
      <c r="AZ40" s="8">
        <v>3.86851E8</v>
      </c>
      <c r="BA40" s="8">
        <v>4.73413E8</v>
      </c>
      <c r="BB40" s="8">
        <v>3.29695E8</v>
      </c>
      <c r="BC40" s="8">
        <v>3.57167E8</v>
      </c>
      <c r="BD40" s="8">
        <v>3.53836E8</v>
      </c>
      <c r="BE40" s="8">
        <v>2.85911E8</v>
      </c>
      <c r="BF40" s="8">
        <v>2.78729E8</v>
      </c>
      <c r="BG40" s="8">
        <v>3.02164E8</v>
      </c>
      <c r="BH40" s="8">
        <v>2.87827E8</v>
      </c>
      <c r="BI40" s="8">
        <v>2.90484E8</v>
      </c>
      <c r="BJ40" s="8">
        <v>1.66217E8</v>
      </c>
      <c r="BK40" s="8">
        <v>2.04597E8</v>
      </c>
      <c r="BL40" s="8">
        <v>1.72936E8</v>
      </c>
      <c r="BM40" s="8">
        <v>2.51743E8</v>
      </c>
      <c r="BN40" s="8">
        <v>1.25639E8</v>
      </c>
      <c r="BO40" s="8">
        <v>1.0974E7</v>
      </c>
      <c r="BP40" s="8">
        <v>1.08392E8</v>
      </c>
      <c r="BQ40" s="8">
        <v>1.36982E8</v>
      </c>
      <c r="BR40" s="8">
        <v>5.5655E7</v>
      </c>
      <c r="BS40" s="8">
        <v>1.30736E8</v>
      </c>
      <c r="BT40" s="8">
        <v>1.32513E8</v>
      </c>
      <c r="BU40" s="8">
        <v>2.8383E8</v>
      </c>
      <c r="BV40" s="8">
        <v>1.50783E8</v>
      </c>
      <c r="BW40" s="8">
        <v>1.69536E8</v>
      </c>
      <c r="BX40" s="8">
        <v>1.53543E8</v>
      </c>
      <c r="BY40" s="8">
        <v>2.68515E8</v>
      </c>
      <c r="BZ40" s="8">
        <v>1.56141E8</v>
      </c>
      <c r="CA40" s="8">
        <v>1.49187E8</v>
      </c>
      <c r="CB40" s="8">
        <v>1.54186E8</v>
      </c>
      <c r="CC40" s="8">
        <v>2.24408E8</v>
      </c>
      <c r="CD40" s="8">
        <v>1.69577E8</v>
      </c>
      <c r="CE40" s="8">
        <v>1.3997E8</v>
      </c>
      <c r="CF40" s="8">
        <v>1.39707E8</v>
      </c>
      <c r="CG40" s="8">
        <v>2.39743E8</v>
      </c>
      <c r="CH40" s="8">
        <v>1.29714E8</v>
      </c>
      <c r="CI40" s="8">
        <v>1.12275E8</v>
      </c>
      <c r="CJ40" s="8">
        <v>1.14992E8</v>
      </c>
      <c r="CK40" s="8">
        <v>1.93747E8</v>
      </c>
      <c r="CL40" s="8">
        <v>1.17202E8</v>
      </c>
      <c r="CM40" s="8">
        <v>8.6304E7</v>
      </c>
      <c r="CN40" s="8">
        <v>9.9325E7</v>
      </c>
      <c r="CO40" s="8">
        <v>-1.4827E7</v>
      </c>
      <c r="CP40" s="8">
        <v>1.05459E8</v>
      </c>
      <c r="CQ40" s="8">
        <v>8.5333E7</v>
      </c>
      <c r="CR40" s="8">
        <v>8.9438E7</v>
      </c>
      <c r="CS40" s="8">
        <v>2.52946E8</v>
      </c>
      <c r="CT40" s="8">
        <v>9.85E7</v>
      </c>
      <c r="CU40" s="8">
        <v>8.27E7</v>
      </c>
      <c r="CV40" s="8">
        <v>7.27E7</v>
      </c>
      <c r="CW40" s="8">
        <v>2.10476E8</v>
      </c>
      <c r="CX40" s="8">
        <v>7.98E7</v>
      </c>
      <c r="CY40" s="8">
        <v>6.8E7</v>
      </c>
      <c r="CZ40" s="8">
        <v>6.18E7</v>
      </c>
      <c r="DA40" s="8">
        <v>1.71577E8</v>
      </c>
      <c r="DB40" s="8">
        <v>6.56E7</v>
      </c>
      <c r="DC40" s="8">
        <v>5.26E7</v>
      </c>
      <c r="DD40" s="8">
        <v>4.01E7</v>
      </c>
      <c r="DE40" s="8">
        <v>1.37341E8</v>
      </c>
      <c r="DF40" s="8">
        <v>5.26E7</v>
      </c>
      <c r="DG40" s="8">
        <v>4.4E7</v>
      </c>
      <c r="DH40" s="8">
        <v>3.28E7</v>
      </c>
      <c r="DI40" s="8">
        <v>1.06452E8</v>
      </c>
      <c r="DJ40" s="8">
        <v>4.15E7</v>
      </c>
      <c r="DK40" s="8">
        <v>3.65E7</v>
      </c>
      <c r="DL40" s="8">
        <v>2.54E7</v>
      </c>
      <c r="DM40" s="8">
        <v>7.515E7</v>
      </c>
      <c r="DN40" s="8">
        <v>3.23E7</v>
      </c>
      <c r="DO40" s="8">
        <v>2.7E7</v>
      </c>
      <c r="DP40" s="8">
        <v>1.94E7</v>
      </c>
      <c r="DQ40" s="8">
        <v>4.08E7</v>
      </c>
      <c r="DR40" s="8">
        <v>2.33E7</v>
      </c>
      <c r="DS40" s="8">
        <v>1.9E7</v>
      </c>
      <c r="DT40" s="8">
        <v>1.26E7</v>
      </c>
      <c r="DU40" s="8">
        <v>3.04E7</v>
      </c>
      <c r="DV40" s="8">
        <v>1.66E7</v>
      </c>
      <c r="DW40" s="8">
        <v>1.33E7</v>
      </c>
      <c r="DX40" s="8">
        <v>8800000.0</v>
      </c>
      <c r="DY40" s="8">
        <v>2.21E7</v>
      </c>
      <c r="DZ40" s="8">
        <v>9800000.0</v>
      </c>
      <c r="EA40" s="8">
        <v>8400000.0</v>
      </c>
      <c r="EB40" s="8">
        <v>4100000.0</v>
      </c>
      <c r="EC40" s="8">
        <v>1.65E7</v>
      </c>
      <c r="ED40" s="8">
        <v>7800000.0</v>
      </c>
      <c r="EE40" s="8">
        <v>7300000.0</v>
      </c>
      <c r="EF40" s="8">
        <v>3200000.0</v>
      </c>
      <c r="EG40" s="8">
        <v>1.5E7</v>
      </c>
      <c r="EH40" s="8">
        <v>7400000.0</v>
      </c>
      <c r="EI40" s="8">
        <v>7400000.0</v>
      </c>
      <c r="EJ40" s="8">
        <v>1.299E8</v>
      </c>
      <c r="EK40" s="8">
        <v>-4.004E8</v>
      </c>
      <c r="EL40" s="8">
        <v>1.531E8</v>
      </c>
      <c r="EM40" s="8">
        <v>1.456E8</v>
      </c>
      <c r="EN40" s="8">
        <v>1.242E8</v>
      </c>
      <c r="EO40" s="8">
        <v>-3.806E8</v>
      </c>
      <c r="EP40" s="8">
        <v>1.369E8</v>
      </c>
      <c r="EQ40" s="8">
        <v>1.46E8</v>
      </c>
      <c r="ER40" s="8">
        <v>1.16E8</v>
      </c>
      <c r="ES40" s="8">
        <v>-3.641E8</v>
      </c>
      <c r="ET40" s="8">
        <v>1.34E8</v>
      </c>
      <c r="EU40" s="8">
        <v>1.359E8</v>
      </c>
      <c r="EV40" s="8">
        <v>1.087E8</v>
      </c>
      <c r="EW40" s="8">
        <v>-3.603E8</v>
      </c>
      <c r="EX40" s="8">
        <v>1.387E8</v>
      </c>
      <c r="EY40" s="5"/>
      <c r="EZ40" s="5"/>
    </row>
    <row r="41">
      <c r="A41" s="5" t="s">
        <v>125</v>
      </c>
      <c r="B41" s="8">
        <v>2.6773139E10</v>
      </c>
      <c r="C41" s="8">
        <v>6.751495E9</v>
      </c>
      <c r="D41" s="8">
        <v>6.387358E9</v>
      </c>
      <c r="E41" s="8">
        <v>7.05459E9</v>
      </c>
      <c r="F41" s="8">
        <v>6.579696E9</v>
      </c>
      <c r="G41" s="8">
        <v>6.37749E9</v>
      </c>
      <c r="H41" s="8">
        <v>6.012989E9</v>
      </c>
      <c r="I41" s="8">
        <v>5.951208E9</v>
      </c>
      <c r="J41" s="8">
        <v>5.8984E9</v>
      </c>
      <c r="K41" s="8">
        <v>5.912539E9</v>
      </c>
      <c r="L41" s="8">
        <v>5.645296E9</v>
      </c>
      <c r="M41" s="8">
        <v>5.677829E9</v>
      </c>
      <c r="N41" s="8">
        <v>5.631385E9</v>
      </c>
      <c r="O41" s="8">
        <v>5.866006E9</v>
      </c>
      <c r="P41" s="8">
        <v>5.852757E9</v>
      </c>
      <c r="Q41" s="8">
        <v>4.884879E9</v>
      </c>
      <c r="R41" s="8">
        <v>4.926307E9</v>
      </c>
      <c r="S41" s="8">
        <v>4.832817E9</v>
      </c>
      <c r="T41" s="8">
        <v>4.620909E9</v>
      </c>
      <c r="U41" s="8">
        <v>4.57812E9</v>
      </c>
      <c r="V41" s="8">
        <v>4.522403E9</v>
      </c>
      <c r="W41" s="8">
        <v>4.468436E9</v>
      </c>
      <c r="X41" s="8">
        <v>4.252214E9</v>
      </c>
      <c r="Y41" s="8">
        <v>4.164033E9</v>
      </c>
      <c r="Z41" s="8">
        <v>4.13715E9</v>
      </c>
      <c r="AA41" s="8">
        <v>4.037783E9</v>
      </c>
      <c r="AB41" s="8">
        <v>3.910642E9</v>
      </c>
      <c r="AC41" s="8">
        <v>4.108499E9</v>
      </c>
      <c r="AD41" s="8">
        <v>3.732519E9</v>
      </c>
      <c r="AE41" s="8">
        <v>3.710124E9</v>
      </c>
      <c r="AF41" s="8">
        <v>3.652818E9</v>
      </c>
      <c r="AG41" s="8">
        <v>3.604669E9</v>
      </c>
      <c r="AH41" s="8">
        <v>3.530086E9</v>
      </c>
      <c r="AI41" s="8">
        <v>3.507749E9</v>
      </c>
      <c r="AJ41" s="8">
        <v>3.419967E9</v>
      </c>
      <c r="AK41" s="8">
        <v>3.37362E9</v>
      </c>
      <c r="AL41" s="8">
        <v>3.300661E9</v>
      </c>
      <c r="AM41" s="8">
        <v>3.268465E9</v>
      </c>
      <c r="AN41" s="8">
        <v>3.164335E9</v>
      </c>
      <c r="AO41" s="8">
        <v>3.059134E9</v>
      </c>
      <c r="AP41" s="8">
        <v>3.053345E9</v>
      </c>
      <c r="AQ41" s="8">
        <v>3.017361E9</v>
      </c>
      <c r="AR41" s="8">
        <v>2.938585E9</v>
      </c>
      <c r="AS41" s="8">
        <v>2.839822E9</v>
      </c>
      <c r="AT41" s="8">
        <v>2.738524E9</v>
      </c>
      <c r="AU41" s="8">
        <v>2.685432E9</v>
      </c>
      <c r="AV41" s="8">
        <v>2.672949E9</v>
      </c>
      <c r="AW41" s="8">
        <v>2.838704E9</v>
      </c>
      <c r="AX41" s="8">
        <v>2.479422E9</v>
      </c>
      <c r="AY41" s="8">
        <v>2.426852E9</v>
      </c>
      <c r="AZ41" s="8">
        <v>2.3643E9</v>
      </c>
      <c r="BA41" s="8">
        <v>2.355951E9</v>
      </c>
      <c r="BB41" s="8">
        <v>2.212759E9</v>
      </c>
      <c r="BC41" s="8">
        <v>2.178176E9</v>
      </c>
      <c r="BD41" s="8">
        <v>2.111558E9</v>
      </c>
      <c r="BE41" s="8">
        <v>2.160396E9</v>
      </c>
      <c r="BF41" s="8">
        <v>2.025669E9</v>
      </c>
      <c r="BG41" s="8">
        <v>1.995865E9</v>
      </c>
      <c r="BH41" s="8">
        <v>1.924579E9</v>
      </c>
      <c r="BI41" s="8">
        <v>2.00815E9</v>
      </c>
      <c r="BJ41" s="8">
        <v>1.826651E9</v>
      </c>
      <c r="BK41" s="8">
        <v>1.851349E9</v>
      </c>
      <c r="BL41" s="8">
        <v>1.710421E9</v>
      </c>
      <c r="BM41" s="8">
        <v>1.819202E9</v>
      </c>
      <c r="BN41" s="8">
        <v>1.666042E9</v>
      </c>
      <c r="BO41" s="8">
        <v>1.724326E9</v>
      </c>
      <c r="BP41" s="8">
        <v>1.642207E9</v>
      </c>
      <c r="BQ41" s="8">
        <v>1.908036E9</v>
      </c>
      <c r="BR41" s="8">
        <v>1.686949E9</v>
      </c>
      <c r="BS41" s="8">
        <v>1.639519E9</v>
      </c>
      <c r="BT41" s="8">
        <v>1.567113E9</v>
      </c>
      <c r="BU41" s="8">
        <v>1.749575E9</v>
      </c>
      <c r="BV41" s="8">
        <v>1.478872E9</v>
      </c>
      <c r="BW41" s="8">
        <v>1.474486E9</v>
      </c>
      <c r="BX41" s="8">
        <v>1.41448E9</v>
      </c>
      <c r="BY41" s="8">
        <v>1.537561E9</v>
      </c>
      <c r="BZ41" s="8">
        <v>1.325202E9</v>
      </c>
      <c r="CA41" s="8">
        <v>1.299263E9</v>
      </c>
      <c r="CB41" s="8">
        <v>1.235709E9</v>
      </c>
      <c r="CC41" s="8">
        <v>1.389992E9</v>
      </c>
      <c r="CD41" s="8">
        <v>1.168449E9</v>
      </c>
      <c r="CE41" s="8">
        <v>1.178264E9</v>
      </c>
      <c r="CF41" s="8">
        <v>1.117158E9</v>
      </c>
      <c r="CG41" s="8">
        <v>1.231599E9</v>
      </c>
      <c r="CH41" s="8">
        <v>1.069119E9</v>
      </c>
      <c r="CI41" s="8">
        <v>1.0663E9</v>
      </c>
      <c r="CJ41" s="8">
        <v>1.00912E9</v>
      </c>
      <c r="CK41" s="8">
        <v>1.110489E9</v>
      </c>
      <c r="CL41" s="8">
        <v>9.27944E8</v>
      </c>
      <c r="CM41" s="8">
        <v>8.93971E8</v>
      </c>
      <c r="CN41" s="8">
        <v>8.81079E8</v>
      </c>
      <c r="CO41" s="8">
        <v>1.066857E9</v>
      </c>
      <c r="CP41" s="8">
        <v>7.72996E8</v>
      </c>
      <c r="CQ41" s="8">
        <v>7.35445E8</v>
      </c>
      <c r="CR41" s="8">
        <v>7.2437E8</v>
      </c>
      <c r="CS41" s="8">
        <v>8.80073E8</v>
      </c>
      <c r="CT41" s="8">
        <v>6.891E8</v>
      </c>
      <c r="CU41" s="8">
        <v>6.811E8</v>
      </c>
      <c r="CV41" s="8">
        <v>6.334E8</v>
      </c>
      <c r="CW41" s="8">
        <v>7.46412E8</v>
      </c>
      <c r="CX41" s="8">
        <v>5.702E8</v>
      </c>
      <c r="CY41" s="8">
        <v>5.488E8</v>
      </c>
      <c r="CZ41" s="8">
        <v>5.274E8</v>
      </c>
      <c r="DA41" s="8">
        <v>6.3259E8</v>
      </c>
      <c r="DB41" s="8">
        <v>4.756E8</v>
      </c>
      <c r="DC41" s="8">
        <v>4.459E8</v>
      </c>
      <c r="DD41" s="8">
        <v>3.868E8</v>
      </c>
      <c r="DE41" s="8">
        <v>4.99103E8</v>
      </c>
      <c r="DF41" s="8">
        <v>3.684E8</v>
      </c>
      <c r="DG41" s="8">
        <v>3.683E8</v>
      </c>
      <c r="DH41" s="8">
        <v>3.398E8</v>
      </c>
      <c r="DI41" s="8">
        <v>4.28269E8</v>
      </c>
      <c r="DJ41" s="8">
        <v>3.154E8</v>
      </c>
      <c r="DK41" s="8">
        <v>3.003E8</v>
      </c>
      <c r="DL41" s="8">
        <v>2.525E8</v>
      </c>
      <c r="DM41" s="8">
        <v>3.4173E8</v>
      </c>
      <c r="DN41" s="8">
        <v>2.505E8</v>
      </c>
      <c r="DO41" s="8">
        <v>2.337E8</v>
      </c>
      <c r="DP41" s="8">
        <v>2.108E8</v>
      </c>
      <c r="DQ41" s="8">
        <v>2.675E8</v>
      </c>
      <c r="DR41" s="8">
        <v>1.96E8</v>
      </c>
      <c r="DS41" s="8">
        <v>1.853E8</v>
      </c>
      <c r="DT41" s="8">
        <v>1.618E8</v>
      </c>
      <c r="DU41" s="8">
        <v>2.047E8</v>
      </c>
      <c r="DV41" s="8">
        <v>1.614E8</v>
      </c>
      <c r="DW41" s="8">
        <v>1.577E8</v>
      </c>
      <c r="DX41" s="8">
        <v>1.38E8</v>
      </c>
      <c r="DY41" s="8">
        <v>1.756E8</v>
      </c>
      <c r="DZ41" s="8">
        <v>1.366E8</v>
      </c>
      <c r="EA41" s="8">
        <v>1.254E8</v>
      </c>
      <c r="EB41" s="8">
        <v>1.08E8</v>
      </c>
      <c r="EC41" s="8">
        <v>1.448E8</v>
      </c>
      <c r="ED41" s="8">
        <v>1.186E8</v>
      </c>
      <c r="EE41" s="8">
        <v>1.11E8</v>
      </c>
      <c r="EF41" s="8">
        <v>9.78E7</v>
      </c>
      <c r="EG41" s="8">
        <v>1.336E8</v>
      </c>
      <c r="EH41" s="8">
        <v>1.046E8</v>
      </c>
      <c r="EI41" s="8">
        <v>1.038E8</v>
      </c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</row>
    <row r="42">
      <c r="A42" s="5" t="s">
        <v>126</v>
      </c>
      <c r="B42" s="8">
        <v>7.85442E8</v>
      </c>
      <c r="C42" s="8">
        <v>2.0838E8</v>
      </c>
      <c r="D42" s="8">
        <v>2.01907E8</v>
      </c>
      <c r="E42" s="8">
        <v>1.92363E8</v>
      </c>
      <c r="F42" s="8">
        <v>1.82792E8</v>
      </c>
      <c r="G42" s="8">
        <v>1.77159E8</v>
      </c>
      <c r="H42" s="8">
        <v>1.72563E8</v>
      </c>
      <c r="I42" s="8">
        <v>1.66371E8</v>
      </c>
      <c r="J42" s="8">
        <v>1.62263E8</v>
      </c>
      <c r="K42" s="8">
        <v>1.58536E8</v>
      </c>
      <c r="L42" s="8">
        <v>1.54146E8</v>
      </c>
      <c r="M42" s="8">
        <v>1.49771E8</v>
      </c>
      <c r="N42" s="8">
        <v>1.45849E8</v>
      </c>
      <c r="O42" s="8">
        <v>1.40962E8</v>
      </c>
      <c r="P42" s="8">
        <v>1.37655E8</v>
      </c>
      <c r="Q42" s="8">
        <v>1.32426E8</v>
      </c>
      <c r="R42" s="8">
        <v>1.2647E8</v>
      </c>
      <c r="S42" s="8">
        <v>1.23423E8</v>
      </c>
      <c r="T42" s="8">
        <v>1.22485E8</v>
      </c>
      <c r="U42" s="8">
        <v>1.17771E8</v>
      </c>
      <c r="V42" s="8">
        <v>1.14852E8</v>
      </c>
      <c r="W42" s="8">
        <v>1.12176E8</v>
      </c>
      <c r="X42" s="8">
        <v>1.09335E8</v>
      </c>
      <c r="Y42" s="8">
        <v>1.0566E8</v>
      </c>
      <c r="Z42" s="8">
        <v>1.00955E8</v>
      </c>
      <c r="AA42" s="8">
        <v>9.903E7</v>
      </c>
      <c r="AB42" s="8">
        <v>9.8586E7</v>
      </c>
      <c r="AC42" s="8">
        <v>9.7545E7</v>
      </c>
      <c r="AD42" s="8">
        <v>9.5444E7</v>
      </c>
      <c r="AE42" s="8">
        <v>9.4618E7</v>
      </c>
      <c r="AF42" s="8">
        <v>9.2324E7</v>
      </c>
      <c r="AG42" s="8">
        <v>8.9144E7</v>
      </c>
      <c r="AH42" s="8">
        <v>8.8553E7</v>
      </c>
      <c r="AI42" s="8">
        <v>8.7582E7</v>
      </c>
      <c r="AJ42" s="8">
        <v>8.7152E7</v>
      </c>
      <c r="AK42" s="8">
        <v>8.6594E7</v>
      </c>
      <c r="AL42" s="8">
        <v>8.6261E7</v>
      </c>
      <c r="AM42" s="8">
        <v>8.534E7</v>
      </c>
      <c r="AN42" s="8">
        <v>8.4158E7</v>
      </c>
      <c r="AO42" s="8">
        <v>8.5165E7</v>
      </c>
      <c r="AP42" s="8">
        <v>8.4435E7</v>
      </c>
      <c r="AQ42" s="8">
        <v>8.2744E7</v>
      </c>
      <c r="AR42" s="8">
        <v>8.0493E7</v>
      </c>
      <c r="AS42" s="8">
        <v>8.0513E7</v>
      </c>
      <c r="AT42" s="8">
        <v>7.6138E7</v>
      </c>
      <c r="AU42" s="8">
        <v>7.3989E7</v>
      </c>
      <c r="AV42" s="8">
        <v>7.2271E7</v>
      </c>
      <c r="AW42" s="8">
        <v>7.0637E7</v>
      </c>
      <c r="AX42" s="8">
        <v>6.89E7</v>
      </c>
      <c r="AY42" s="8">
        <v>6.8385E7</v>
      </c>
      <c r="AZ42" s="8">
        <v>6.7486E7</v>
      </c>
      <c r="BA42" s="8">
        <v>6.5188E7</v>
      </c>
      <c r="BB42" s="8">
        <v>6.3583E7</v>
      </c>
      <c r="BC42" s="8">
        <v>6.2904E7</v>
      </c>
      <c r="BD42" s="8">
        <v>6.3252E7</v>
      </c>
      <c r="BE42" s="8">
        <v>6.2726E7</v>
      </c>
      <c r="BF42" s="8">
        <v>6.2977E7</v>
      </c>
      <c r="BG42" s="8">
        <v>6.6537E7</v>
      </c>
      <c r="BH42" s="8">
        <v>6.4531E7</v>
      </c>
      <c r="BI42" s="8">
        <v>6.3744E7</v>
      </c>
      <c r="BJ42" s="8">
        <v>6.2132E7</v>
      </c>
      <c r="BK42" s="8">
        <v>6.0617E7</v>
      </c>
      <c r="BL42" s="8">
        <v>6.1406E7</v>
      </c>
      <c r="BM42" s="8">
        <v>5.9306E7</v>
      </c>
      <c r="BN42" s="8">
        <v>6.5332E7</v>
      </c>
      <c r="BO42" s="8">
        <v>5.9041E7</v>
      </c>
      <c r="BP42" s="8">
        <v>5.0451E7</v>
      </c>
      <c r="BQ42" s="8">
        <v>5.1697E7</v>
      </c>
      <c r="BR42" s="8">
        <v>5.1431E7</v>
      </c>
      <c r="BS42" s="8">
        <v>4.8702E7</v>
      </c>
      <c r="BT42" s="8">
        <v>4.8778E7</v>
      </c>
      <c r="BU42" s="8">
        <v>4.9007E7</v>
      </c>
      <c r="BV42" s="8">
        <v>4.7501E7</v>
      </c>
      <c r="BW42" s="8">
        <v>4.631E7</v>
      </c>
      <c r="BX42" s="8">
        <v>4.4006E7</v>
      </c>
      <c r="BY42" s="8">
        <v>4.1596E7</v>
      </c>
      <c r="BZ42" s="8">
        <v>4.2185E7</v>
      </c>
      <c r="CA42" s="8">
        <v>4.1061E7</v>
      </c>
      <c r="CB42" s="8">
        <v>3.9636E7</v>
      </c>
      <c r="CC42" s="8">
        <v>3.9285E7</v>
      </c>
      <c r="CD42" s="8">
        <v>3.8231E7</v>
      </c>
      <c r="CE42" s="8">
        <v>3.8127E7</v>
      </c>
      <c r="CF42" s="8">
        <v>3.6756E7</v>
      </c>
      <c r="CG42" s="8">
        <v>3.2657E7</v>
      </c>
      <c r="CH42" s="8">
        <v>3.6283E7</v>
      </c>
      <c r="CI42" s="8">
        <v>3.4015E7</v>
      </c>
      <c r="CJ42" s="8">
        <v>3.2004E7</v>
      </c>
      <c r="CK42" s="8">
        <v>3.0863E7</v>
      </c>
      <c r="CL42" s="8">
        <v>3.1124E7</v>
      </c>
      <c r="CM42" s="8">
        <v>3.109E7</v>
      </c>
      <c r="CN42" s="8">
        <v>2.989E7</v>
      </c>
      <c r="CO42" s="8">
        <v>5.2828E7</v>
      </c>
      <c r="CP42" s="8">
        <v>2.0619E7</v>
      </c>
      <c r="CQ42" s="8">
        <v>1.9345E7</v>
      </c>
      <c r="CR42" s="8">
        <v>1.8607E7</v>
      </c>
      <c r="CS42" s="8">
        <v>1.10744E8</v>
      </c>
      <c r="CT42" s="8">
        <v>-1.65E7</v>
      </c>
      <c r="CU42" s="8">
        <v>-1.55E7</v>
      </c>
      <c r="CV42" s="8">
        <v>-1.48E7</v>
      </c>
      <c r="CW42" s="8">
        <v>9.1912E7</v>
      </c>
      <c r="CX42" s="8">
        <v>-1.35E7</v>
      </c>
      <c r="CY42" s="8">
        <v>-1.29E7</v>
      </c>
      <c r="CZ42" s="8">
        <v>-1.24E7</v>
      </c>
      <c r="DA42" s="8">
        <v>6.6534E7</v>
      </c>
      <c r="DB42" s="8">
        <v>-1.0E7</v>
      </c>
      <c r="DC42" s="8">
        <v>-9200000.0</v>
      </c>
      <c r="DD42" s="8">
        <v>-8600000.0</v>
      </c>
      <c r="DE42" s="8">
        <v>5.3965E7</v>
      </c>
      <c r="DF42" s="8">
        <v>-8100000.0</v>
      </c>
      <c r="DG42" s="8">
        <v>-7600000.0</v>
      </c>
      <c r="DH42" s="8">
        <v>-7300000.0</v>
      </c>
      <c r="DI42" s="8">
        <v>4.3145E7</v>
      </c>
      <c r="DJ42" s="8">
        <v>-6500000.0</v>
      </c>
      <c r="DK42" s="8">
        <v>-6000000.0</v>
      </c>
      <c r="DL42" s="8">
        <v>-5400000.0</v>
      </c>
      <c r="DM42" s="8">
        <v>2.1663E7</v>
      </c>
      <c r="DN42" s="8">
        <v>3400000.0</v>
      </c>
      <c r="DO42" s="8">
        <v>-4100000.0</v>
      </c>
      <c r="DP42" s="8">
        <v>-3700000.0</v>
      </c>
      <c r="DQ42" s="8">
        <v>4800000.0</v>
      </c>
      <c r="DR42" s="8">
        <v>-3100000.0</v>
      </c>
      <c r="DS42" s="8">
        <v>-2700000.0</v>
      </c>
      <c r="DT42" s="8">
        <v>-2500000.0</v>
      </c>
      <c r="DU42" s="8">
        <v>-2200000.0</v>
      </c>
      <c r="DV42" s="8">
        <v>-2200000.0</v>
      </c>
      <c r="DW42" s="8">
        <v>-1900000.0</v>
      </c>
      <c r="DX42" s="8">
        <v>-1900000.0</v>
      </c>
      <c r="DY42" s="8">
        <v>-1900000.0</v>
      </c>
      <c r="DZ42" s="8">
        <v>-1700000.0</v>
      </c>
      <c r="EA42" s="8">
        <v>-1600000.0</v>
      </c>
      <c r="EB42" s="8">
        <v>-1500000.0</v>
      </c>
      <c r="EC42" s="8">
        <v>-1700000.0</v>
      </c>
      <c r="ED42" s="8">
        <v>-1700000.0</v>
      </c>
      <c r="EE42" s="8">
        <v>-1600000.0</v>
      </c>
      <c r="EF42" s="8">
        <v>-1500000.0</v>
      </c>
      <c r="EG42" s="8">
        <v>-1900000.0</v>
      </c>
      <c r="EH42" s="8">
        <v>-1400000.0</v>
      </c>
      <c r="EI42" s="8">
        <v>1400000.0</v>
      </c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</row>
    <row r="43">
      <c r="A43" s="5" t="s">
        <v>127</v>
      </c>
      <c r="B43" s="8">
        <v>2.168517E9</v>
      </c>
      <c r="C43" s="8">
        <v>4.68835E8</v>
      </c>
      <c r="D43" s="8">
        <v>5.1438E8</v>
      </c>
      <c r="E43" s="8">
        <v>6.59135E8</v>
      </c>
      <c r="F43" s="8">
        <v>5.26167E8</v>
      </c>
      <c r="G43" s="8">
        <v>6.7803E8</v>
      </c>
      <c r="H43" s="8">
        <v>5.52657E8</v>
      </c>
      <c r="I43" s="8">
        <v>5.97433E8</v>
      </c>
      <c r="J43" s="8">
        <v>4.87031E8</v>
      </c>
      <c r="K43" s="8">
        <v>6.37019E8</v>
      </c>
      <c r="L43" s="8">
        <v>6.77749E8</v>
      </c>
      <c r="M43" s="8">
        <v>6.42743E8</v>
      </c>
      <c r="N43" s="8">
        <v>5.7426E8</v>
      </c>
      <c r="O43" s="8">
        <v>7.87601E8</v>
      </c>
      <c r="P43" s="8">
        <v>6.50446E8</v>
      </c>
      <c r="Q43" s="8">
        <v>5.35437E8</v>
      </c>
      <c r="R43" s="8">
        <v>3.6555E8</v>
      </c>
      <c r="S43" s="8">
        <v>4.26555E8</v>
      </c>
      <c r="T43" s="8">
        <v>3.85013E8</v>
      </c>
      <c r="U43" s="8">
        <v>4.83241E8</v>
      </c>
      <c r="V43" s="8">
        <v>3.34142E8</v>
      </c>
      <c r="W43" s="8">
        <v>4.07237E8</v>
      </c>
      <c r="X43" s="8">
        <v>3.64852E8</v>
      </c>
      <c r="Y43" s="8">
        <v>7.12155E8</v>
      </c>
      <c r="Z43" s="8">
        <v>2.52533E8</v>
      </c>
      <c r="AA43" s="8">
        <v>2.94783E8</v>
      </c>
      <c r="AB43" s="8">
        <v>2.79489E8</v>
      </c>
      <c r="AC43" s="8">
        <v>4.14176E8</v>
      </c>
      <c r="AD43" s="8">
        <v>2.35315E8</v>
      </c>
      <c r="AE43" s="8">
        <v>3.06518E8</v>
      </c>
      <c r="AF43" s="8">
        <v>2.95124E8</v>
      </c>
      <c r="AG43" s="8">
        <v>3.76175E8</v>
      </c>
      <c r="AH43" s="8">
        <v>2.53321E8</v>
      </c>
      <c r="AI43" s="8">
        <v>2.82349E8</v>
      </c>
      <c r="AJ43" s="8">
        <v>2.53235E8</v>
      </c>
      <c r="AK43" s="8">
        <v>3.55371E8</v>
      </c>
      <c r="AL43" s="8">
        <v>2.36316E8</v>
      </c>
      <c r="AM43" s="8">
        <v>2.5126E8</v>
      </c>
      <c r="AN43" s="8">
        <v>2.22398E8</v>
      </c>
      <c r="AO43" s="8">
        <v>3.22173E8</v>
      </c>
      <c r="AP43" s="8">
        <v>2.37385E8</v>
      </c>
      <c r="AQ43" s="8">
        <v>2.45475E8</v>
      </c>
      <c r="AR43" s="8">
        <v>2.20083E8</v>
      </c>
      <c r="AS43" s="8">
        <v>3.17422E8</v>
      </c>
      <c r="AT43" s="8">
        <v>2.07685E8</v>
      </c>
      <c r="AU43" s="8">
        <v>2.1414E8</v>
      </c>
      <c r="AV43" s="8">
        <v>2.13415E8</v>
      </c>
      <c r="AW43" s="8">
        <v>2.9251E8</v>
      </c>
      <c r="AX43" s="8">
        <v>1.71164E8</v>
      </c>
      <c r="AY43" s="8">
        <v>1.46042E8</v>
      </c>
      <c r="AZ43" s="8">
        <v>1.56969E8</v>
      </c>
      <c r="BA43" s="8">
        <v>2.22546E8</v>
      </c>
      <c r="BB43" s="8">
        <v>1.2812E8</v>
      </c>
      <c r="BC43" s="8">
        <v>1.41195E8</v>
      </c>
      <c r="BD43" s="8">
        <v>1.35996E8</v>
      </c>
      <c r="BE43" s="8">
        <v>8.7197E7</v>
      </c>
      <c r="BF43" s="8">
        <v>7.5649E7</v>
      </c>
      <c r="BG43" s="8">
        <v>9.359E7</v>
      </c>
      <c r="BH43" s="8">
        <v>8.3006E7</v>
      </c>
      <c r="BI43" s="8">
        <v>8.1854E7</v>
      </c>
      <c r="BJ43" s="8">
        <v>-7306000.0</v>
      </c>
      <c r="BK43" s="8">
        <v>2.7718E7</v>
      </c>
      <c r="BL43" s="8">
        <v>5916000.0</v>
      </c>
      <c r="BM43" s="8">
        <v>5.5389E7</v>
      </c>
      <c r="BN43" s="8">
        <v>-3.3032E7</v>
      </c>
      <c r="BO43" s="8">
        <v>-6.8818E7</v>
      </c>
      <c r="BP43" s="8">
        <v>3.4875E7</v>
      </c>
      <c r="BQ43" s="8">
        <v>5.009E7</v>
      </c>
      <c r="BR43" s="8">
        <v>-5285000.0</v>
      </c>
      <c r="BS43" s="8">
        <v>4.5468E7</v>
      </c>
      <c r="BT43" s="8">
        <v>4.767E7</v>
      </c>
      <c r="BU43" s="8">
        <v>1.45272E8</v>
      </c>
      <c r="BV43" s="8">
        <v>6.4425E7</v>
      </c>
      <c r="BW43" s="8">
        <v>7.5558E7</v>
      </c>
      <c r="BX43" s="8">
        <v>6.49E7</v>
      </c>
      <c r="BY43" s="8">
        <v>1.33893E8</v>
      </c>
      <c r="BZ43" s="8">
        <v>7.1126E7</v>
      </c>
      <c r="CA43" s="8">
        <v>7.1322E7</v>
      </c>
      <c r="CB43" s="8">
        <v>6.7849E7</v>
      </c>
      <c r="CC43" s="8">
        <v>1.02829E8</v>
      </c>
      <c r="CD43" s="8">
        <v>7.7903E7</v>
      </c>
      <c r="CE43" s="8">
        <v>5.9936E7</v>
      </c>
      <c r="CF43" s="8">
        <v>6.0332E7</v>
      </c>
      <c r="CG43" s="8">
        <v>1.08086E8</v>
      </c>
      <c r="CH43" s="8">
        <v>6.857E7</v>
      </c>
      <c r="CI43" s="8">
        <v>4.2362E7</v>
      </c>
      <c r="CJ43" s="8">
        <v>4.5928E7</v>
      </c>
      <c r="CK43" s="8">
        <v>9.7443E7</v>
      </c>
      <c r="CL43" s="8">
        <v>4.6737E7</v>
      </c>
      <c r="CM43" s="8">
        <v>2.71E7</v>
      </c>
      <c r="CN43" s="8">
        <v>3.6233E7</v>
      </c>
      <c r="CO43" s="8">
        <v>-6.3998E7</v>
      </c>
      <c r="CP43" s="8">
        <v>5.099E7</v>
      </c>
      <c r="CQ43" s="8">
        <v>3.931E7</v>
      </c>
      <c r="CR43" s="8">
        <v>4.434E7</v>
      </c>
      <c r="CS43" s="8">
        <v>9.0627E7</v>
      </c>
      <c r="CT43" s="8">
        <v>5.09E7</v>
      </c>
      <c r="CU43" s="8">
        <v>4.16E7</v>
      </c>
      <c r="CV43" s="8">
        <v>3.63E7</v>
      </c>
      <c r="CW43" s="8">
        <v>7.8033E7</v>
      </c>
      <c r="CX43" s="8">
        <v>4.03E7</v>
      </c>
      <c r="CY43" s="8">
        <v>3.33E7</v>
      </c>
      <c r="CZ43" s="8">
        <v>3.04E7</v>
      </c>
      <c r="DA43" s="8">
        <v>6.5028E7</v>
      </c>
      <c r="DB43" s="8">
        <v>3.36E7</v>
      </c>
      <c r="DC43" s="8">
        <v>2.67E7</v>
      </c>
      <c r="DD43" s="8">
        <v>1.93E7</v>
      </c>
      <c r="DE43" s="8">
        <v>5.15E7</v>
      </c>
      <c r="DF43" s="8">
        <v>2.66E7</v>
      </c>
      <c r="DG43" s="8">
        <v>2.19E7</v>
      </c>
      <c r="DH43" s="8">
        <v>1.5E7</v>
      </c>
      <c r="DI43" s="8">
        <v>3.8518E7</v>
      </c>
      <c r="DJ43" s="8">
        <v>2.0E7</v>
      </c>
      <c r="DK43" s="8">
        <v>1.77E7</v>
      </c>
      <c r="DL43" s="8">
        <v>1.16E7</v>
      </c>
      <c r="DM43" s="8">
        <v>3.2834E7</v>
      </c>
      <c r="DN43" s="8">
        <v>1.73E7</v>
      </c>
      <c r="DO43" s="8">
        <v>1.4E7</v>
      </c>
      <c r="DP43" s="8">
        <v>9500000.0</v>
      </c>
      <c r="DQ43" s="8">
        <v>2.21E7</v>
      </c>
      <c r="DR43" s="8">
        <v>1.1E7</v>
      </c>
      <c r="DS43" s="8">
        <v>9600000.0</v>
      </c>
      <c r="DT43" s="8">
        <v>5900000.0</v>
      </c>
      <c r="DU43" s="8">
        <v>1.68E7</v>
      </c>
      <c r="DV43" s="8">
        <v>8300000.0</v>
      </c>
      <c r="DW43" s="8">
        <v>6700000.0</v>
      </c>
      <c r="DX43" s="8">
        <v>3900000.0</v>
      </c>
      <c r="DY43" s="8">
        <v>1.23E7</v>
      </c>
      <c r="DZ43" s="8">
        <v>4300000.0</v>
      </c>
      <c r="EA43" s="8">
        <v>3800000.0</v>
      </c>
      <c r="EB43" s="8">
        <v>1200000.0</v>
      </c>
      <c r="EC43" s="8">
        <v>8900000.0</v>
      </c>
      <c r="ED43" s="8">
        <v>2800000.0</v>
      </c>
      <c r="EE43" s="8">
        <v>2500000.0</v>
      </c>
      <c r="EF43" s="8">
        <v>400000.0</v>
      </c>
      <c r="EG43" s="8">
        <v>7300000.0</v>
      </c>
      <c r="EH43" s="8">
        <v>2800000.0</v>
      </c>
      <c r="EI43" s="8">
        <v>2800000.0</v>
      </c>
      <c r="EJ43" s="8">
        <v>-400000.0</v>
      </c>
      <c r="EK43" s="8">
        <v>6200000.0</v>
      </c>
      <c r="EL43" s="8">
        <v>2500000.0</v>
      </c>
      <c r="EM43" s="8">
        <v>2400000.0</v>
      </c>
      <c r="EN43" s="8">
        <v>-800000.0</v>
      </c>
      <c r="EO43" s="8">
        <v>5300000.0</v>
      </c>
      <c r="EP43" s="8">
        <v>700000.0</v>
      </c>
      <c r="EQ43" s="8">
        <v>2000000.0</v>
      </c>
      <c r="ER43" s="8">
        <v>-1500000.0</v>
      </c>
      <c r="ES43" s="8">
        <v>2500000.0</v>
      </c>
      <c r="ET43" s="8">
        <v>1100000.0</v>
      </c>
      <c r="EU43" s="8">
        <v>2400000.0</v>
      </c>
      <c r="EV43" s="8">
        <v>-1700000.0</v>
      </c>
      <c r="EW43" s="8">
        <v>7600000.0</v>
      </c>
      <c r="EX43" s="8">
        <v>4100000.0</v>
      </c>
      <c r="EY43" s="5"/>
      <c r="EZ43" s="5"/>
    </row>
    <row r="44">
      <c r="A44" s="9" t="s">
        <v>128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8">
        <v>-1728000.0</v>
      </c>
      <c r="AU44" s="8">
        <v>-2.6557E7</v>
      </c>
      <c r="AV44" s="8">
        <v>-1671000.0</v>
      </c>
      <c r="AW44" s="8">
        <v>-51000.0</v>
      </c>
      <c r="AX44" s="8">
        <v>-53000.0</v>
      </c>
      <c r="AY44" s="8">
        <v>-5.8239E7</v>
      </c>
      <c r="AZ44" s="8">
        <v>-2272000.0</v>
      </c>
      <c r="BA44" s="8">
        <v>-118000.0</v>
      </c>
      <c r="BB44" s="8">
        <v>-8312000.0</v>
      </c>
      <c r="BC44" s="8">
        <v>-6526000.0</v>
      </c>
      <c r="BD44" s="8">
        <v>-145000.0</v>
      </c>
      <c r="BE44" s="8">
        <v>-5.5757E7</v>
      </c>
      <c r="BF44" s="8">
        <v>-513000.0</v>
      </c>
      <c r="BG44" s="8">
        <v>2395000.0</v>
      </c>
      <c r="BH44" s="8">
        <v>-1667000.0</v>
      </c>
      <c r="BI44" s="8">
        <v>6144000.0</v>
      </c>
      <c r="BJ44" s="8">
        <v>-3.4766E7</v>
      </c>
      <c r="BK44" s="8">
        <v>-292000.0</v>
      </c>
      <c r="BL44" s="5"/>
      <c r="BM44" s="8">
        <v>4593000.0</v>
      </c>
      <c r="BN44" s="8">
        <v>-6784000.0</v>
      </c>
      <c r="BO44" s="8">
        <v>567000.0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8">
        <v>-1.0E7</v>
      </c>
      <c r="CD44" s="10">
        <v>0.0</v>
      </c>
      <c r="CE44" s="10">
        <v>0.0</v>
      </c>
      <c r="CF44" s="5"/>
      <c r="CG44" s="10">
        <v>0.0</v>
      </c>
      <c r="CH44" s="8">
        <v>2.5041E7</v>
      </c>
      <c r="CI44" s="8">
        <v>4500000.0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</row>
    <row r="45">
      <c r="A45" s="9" t="s">
        <v>129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8">
        <v>-1728000.0</v>
      </c>
      <c r="AU45" s="8">
        <v>-2.6557E7</v>
      </c>
      <c r="AV45" s="8">
        <v>-1671000.0</v>
      </c>
      <c r="AW45" s="8">
        <v>-51000.0</v>
      </c>
      <c r="AX45" s="8">
        <v>-53000.0</v>
      </c>
      <c r="AY45" s="8">
        <v>-5.8239E7</v>
      </c>
      <c r="AZ45" s="8">
        <v>-2272000.0</v>
      </c>
      <c r="BA45" s="8">
        <v>-118000.0</v>
      </c>
      <c r="BB45" s="8">
        <v>-8312000.0</v>
      </c>
      <c r="BC45" s="8">
        <v>-6526000.0</v>
      </c>
      <c r="BD45" s="8">
        <v>-145000.0</v>
      </c>
      <c r="BE45" s="8">
        <v>-5.5757E7</v>
      </c>
      <c r="BF45" s="8">
        <v>-513000.0</v>
      </c>
      <c r="BG45" s="8">
        <v>2395000.0</v>
      </c>
      <c r="BH45" s="8">
        <v>-1667000.0</v>
      </c>
      <c r="BI45" s="8">
        <v>6144000.0</v>
      </c>
      <c r="BJ45" s="8">
        <v>-3.4766E7</v>
      </c>
      <c r="BK45" s="8">
        <v>-292000.0</v>
      </c>
      <c r="BL45" s="5"/>
      <c r="BM45" s="8">
        <v>4593000.0</v>
      </c>
      <c r="BN45" s="8">
        <v>-6784000.0</v>
      </c>
      <c r="BO45" s="8">
        <v>567000.0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8">
        <v>-1.0E7</v>
      </c>
      <c r="CD45" s="10">
        <v>0.0</v>
      </c>
      <c r="CE45" s="10">
        <v>0.0</v>
      </c>
      <c r="CF45" s="5"/>
      <c r="CG45" s="10">
        <v>0.0</v>
      </c>
      <c r="CH45" s="8">
        <v>2.5041E7</v>
      </c>
      <c r="CI45" s="8">
        <v>4500000.0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</row>
    <row r="46">
      <c r="A46" s="5" t="s">
        <v>130</v>
      </c>
      <c r="B46" s="8">
        <v>3.886918E9</v>
      </c>
      <c r="C46" s="8">
        <v>9.00694E8</v>
      </c>
      <c r="D46" s="8">
        <v>9.42765E8</v>
      </c>
      <c r="E46" s="8">
        <v>1.125537E9</v>
      </c>
      <c r="F46" s="8">
        <v>9.17922E8</v>
      </c>
      <c r="G46" s="8">
        <v>9.13426E8</v>
      </c>
      <c r="H46" s="8">
        <v>9.1872E8</v>
      </c>
      <c r="I46" s="8">
        <v>7.96669E8</v>
      </c>
      <c r="J46" s="8">
        <v>8.27851E8</v>
      </c>
      <c r="K46" s="8">
        <v>1.008104E9</v>
      </c>
      <c r="L46" s="8">
        <v>1.062996E9</v>
      </c>
      <c r="M46" s="8">
        <v>1.021995E9</v>
      </c>
      <c r="N46" s="8">
        <v>7.7313E8</v>
      </c>
      <c r="O46" s="8">
        <v>1.183589E9</v>
      </c>
      <c r="P46" s="8">
        <v>1.004439E9</v>
      </c>
      <c r="Q46" s="8">
        <v>7.20875E8</v>
      </c>
      <c r="R46" s="8">
        <v>6.17887E8</v>
      </c>
      <c r="S46" s="8">
        <v>7.01198E8</v>
      </c>
      <c r="T46" s="8">
        <v>6.34722E8</v>
      </c>
      <c r="U46" s="8">
        <v>6.38503E8</v>
      </c>
      <c r="V46" s="8">
        <v>5.56995E8</v>
      </c>
      <c r="W46" s="8">
        <v>6.56633E8</v>
      </c>
      <c r="X46" s="8">
        <v>5.99519E8</v>
      </c>
      <c r="Y46" s="8">
        <v>6.23446E8</v>
      </c>
      <c r="Z46" s="8">
        <v>5.18386E8</v>
      </c>
      <c r="AA46" s="8">
        <v>5.92176E8</v>
      </c>
      <c r="AB46" s="8">
        <v>5.68879E8</v>
      </c>
      <c r="AC46" s="8">
        <v>6.80618E8</v>
      </c>
      <c r="AD46" s="8">
        <v>4.88435E8</v>
      </c>
      <c r="AE46" s="8">
        <v>6.03715E8</v>
      </c>
      <c r="AF46" s="8">
        <v>5.73067E8</v>
      </c>
      <c r="AG46" s="8">
        <v>6.12429E8</v>
      </c>
      <c r="AH46" s="8">
        <v>5.12086E8</v>
      </c>
      <c r="AI46" s="8">
        <v>5.63394E8</v>
      </c>
      <c r="AJ46" s="8">
        <v>5.15346E8</v>
      </c>
      <c r="AK46" s="8">
        <v>5.66716E8</v>
      </c>
      <c r="AL46" s="8">
        <v>4.80404E8</v>
      </c>
      <c r="AM46" s="8">
        <v>5.13866E8</v>
      </c>
      <c r="AN46" s="8">
        <v>4.63866E8</v>
      </c>
      <c r="AO46" s="8">
        <v>5.38122E8</v>
      </c>
      <c r="AP46" s="8">
        <v>4.74676E8</v>
      </c>
      <c r="AQ46" s="8">
        <v>4.95566E8</v>
      </c>
      <c r="AR46" s="8">
        <v>4.56622E8</v>
      </c>
      <c r="AS46" s="8">
        <v>6.02862E8</v>
      </c>
      <c r="AT46" s="8">
        <v>4.37527E8</v>
      </c>
      <c r="AU46" s="8">
        <v>4.61203E8</v>
      </c>
      <c r="AV46" s="8">
        <v>4.56595E8</v>
      </c>
      <c r="AW46" s="8">
        <v>5.78913E8</v>
      </c>
      <c r="AX46" s="8">
        <v>3.79827E8</v>
      </c>
      <c r="AY46" s="8">
        <v>4.1844E8</v>
      </c>
      <c r="AZ46" s="8">
        <v>3.89123E8</v>
      </c>
      <c r="BA46" s="8">
        <v>4.73531E8</v>
      </c>
      <c r="BB46" s="8">
        <v>3.38007E8</v>
      </c>
      <c r="BC46" s="8">
        <v>3.63693E8</v>
      </c>
      <c r="BD46" s="8">
        <v>3.53981E8</v>
      </c>
      <c r="BE46" s="8">
        <v>3.41668E8</v>
      </c>
      <c r="BF46" s="8">
        <v>2.79242E8</v>
      </c>
      <c r="BG46" s="8">
        <v>2.99769E8</v>
      </c>
      <c r="BH46" s="8">
        <v>2.89494E8</v>
      </c>
      <c r="BI46" s="8">
        <v>2.8434E8</v>
      </c>
      <c r="BJ46" s="8">
        <v>2.00983E8</v>
      </c>
      <c r="BK46" s="8">
        <v>2.04889E8</v>
      </c>
      <c r="BL46" s="8">
        <v>1.72936E8</v>
      </c>
      <c r="BM46" s="8">
        <v>2.4715E8</v>
      </c>
      <c r="BN46" s="8">
        <v>1.32423E8</v>
      </c>
      <c r="BO46" s="8">
        <v>1.0407E7</v>
      </c>
      <c r="BP46" s="8">
        <v>1.08392E8</v>
      </c>
      <c r="BQ46" s="8">
        <v>1.36982E8</v>
      </c>
      <c r="BR46" s="8">
        <v>5.5655E7</v>
      </c>
      <c r="BS46" s="8">
        <v>1.30736E8</v>
      </c>
      <c r="BT46" s="8">
        <v>1.32513E8</v>
      </c>
      <c r="BU46" s="8">
        <v>2.8383E8</v>
      </c>
      <c r="BV46" s="8">
        <v>1.50783E8</v>
      </c>
      <c r="BW46" s="8">
        <v>1.69536E8</v>
      </c>
      <c r="BX46" s="8">
        <v>1.53543E8</v>
      </c>
      <c r="BY46" s="8">
        <v>2.68515E8</v>
      </c>
      <c r="BZ46" s="8">
        <v>1.56141E8</v>
      </c>
      <c r="CA46" s="8">
        <v>1.49187E8</v>
      </c>
      <c r="CB46" s="8">
        <v>1.54186E8</v>
      </c>
      <c r="CC46" s="8">
        <v>2.34408E8</v>
      </c>
      <c r="CD46" s="8">
        <v>1.69577E8</v>
      </c>
      <c r="CE46" s="8">
        <v>1.3997E8</v>
      </c>
      <c r="CF46" s="8">
        <v>1.39707E8</v>
      </c>
      <c r="CG46" s="8">
        <v>2.39743E8</v>
      </c>
      <c r="CH46" s="8">
        <v>1.04673E8</v>
      </c>
      <c r="CI46" s="8">
        <v>1.07775E8</v>
      </c>
      <c r="CJ46" s="8">
        <v>1.14992E8</v>
      </c>
      <c r="CK46" s="8">
        <v>1.93747E8</v>
      </c>
      <c r="CL46" s="8">
        <v>1.17202E8</v>
      </c>
      <c r="CM46" s="8">
        <v>8.6304E7</v>
      </c>
      <c r="CN46" s="8">
        <v>9.9325E7</v>
      </c>
      <c r="CO46" s="8">
        <v>-1.4827E7</v>
      </c>
      <c r="CP46" s="8">
        <v>1.05459E8</v>
      </c>
      <c r="CQ46" s="8">
        <v>8.5333E7</v>
      </c>
      <c r="CR46" s="8">
        <v>8.9438E7</v>
      </c>
      <c r="CS46" s="8">
        <v>2.52946E8</v>
      </c>
      <c r="CT46" s="8">
        <v>9.85E7</v>
      </c>
      <c r="CU46" s="8">
        <v>8.27E7</v>
      </c>
      <c r="CV46" s="8">
        <v>7.27E7</v>
      </c>
      <c r="CW46" s="8">
        <v>2.10476E8</v>
      </c>
      <c r="CX46" s="8">
        <v>7.98E7</v>
      </c>
      <c r="CY46" s="8">
        <v>6.8E7</v>
      </c>
      <c r="CZ46" s="8">
        <v>6.18E7</v>
      </c>
      <c r="DA46" s="8">
        <v>1.71577E8</v>
      </c>
      <c r="DB46" s="8">
        <v>6.56E7</v>
      </c>
      <c r="DC46" s="8">
        <v>5.26E7</v>
      </c>
      <c r="DD46" s="8">
        <v>4.01E7</v>
      </c>
      <c r="DE46" s="8">
        <v>1.37341E8</v>
      </c>
      <c r="DF46" s="8">
        <v>5.26E7</v>
      </c>
      <c r="DG46" s="8">
        <v>4.4E7</v>
      </c>
      <c r="DH46" s="8">
        <v>3.28E7</v>
      </c>
      <c r="DI46" s="8">
        <v>1.06452E8</v>
      </c>
      <c r="DJ46" s="8">
        <v>4.15E7</v>
      </c>
      <c r="DK46" s="8">
        <v>3.65E7</v>
      </c>
      <c r="DL46" s="8">
        <v>2.54E7</v>
      </c>
      <c r="DM46" s="8">
        <v>7.515E7</v>
      </c>
      <c r="DN46" s="8">
        <v>3.23E7</v>
      </c>
      <c r="DO46" s="8">
        <v>2.7E7</v>
      </c>
      <c r="DP46" s="8">
        <v>1.94E7</v>
      </c>
      <c r="DQ46" s="8">
        <v>4.08E7</v>
      </c>
      <c r="DR46" s="8">
        <v>2.33E7</v>
      </c>
      <c r="DS46" s="8">
        <v>1.9E7</v>
      </c>
      <c r="DT46" s="8">
        <v>1.26E7</v>
      </c>
      <c r="DU46" s="8">
        <v>3.04E7</v>
      </c>
      <c r="DV46" s="8">
        <v>1.66E7</v>
      </c>
      <c r="DW46" s="8">
        <v>1.33E7</v>
      </c>
      <c r="DX46" s="8">
        <v>8800000.0</v>
      </c>
      <c r="DY46" s="8">
        <v>2.21E7</v>
      </c>
      <c r="DZ46" s="8">
        <v>9800000.0</v>
      </c>
      <c r="EA46" s="8">
        <v>8400000.0</v>
      </c>
      <c r="EB46" s="8">
        <v>4100000.0</v>
      </c>
      <c r="EC46" s="8">
        <v>1.65E7</v>
      </c>
      <c r="ED46" s="8">
        <v>7800000.0</v>
      </c>
      <c r="EE46" s="8">
        <v>7300000.0</v>
      </c>
      <c r="EF46" s="8">
        <v>3200000.0</v>
      </c>
      <c r="EG46" s="8">
        <v>1.5E7</v>
      </c>
      <c r="EH46" s="8">
        <v>7400000.0</v>
      </c>
      <c r="EI46" s="8">
        <v>7400000.0</v>
      </c>
      <c r="EJ46" s="8">
        <v>1.299E8</v>
      </c>
      <c r="EK46" s="8">
        <v>-4.004E8</v>
      </c>
      <c r="EL46" s="8">
        <v>1.531E8</v>
      </c>
      <c r="EM46" s="8">
        <v>1.456E8</v>
      </c>
      <c r="EN46" s="8">
        <v>1.242E8</v>
      </c>
      <c r="EO46" s="8">
        <v>-3.806E8</v>
      </c>
      <c r="EP46" s="8">
        <v>1.369E8</v>
      </c>
      <c r="EQ46" s="8">
        <v>1.46E8</v>
      </c>
      <c r="ER46" s="8">
        <v>1.16E8</v>
      </c>
      <c r="ES46" s="8">
        <v>-3.641E8</v>
      </c>
      <c r="ET46" s="8">
        <v>1.34E8</v>
      </c>
      <c r="EU46" s="8">
        <v>1.359E8</v>
      </c>
      <c r="EV46" s="8">
        <v>1.087E8</v>
      </c>
      <c r="EW46" s="8">
        <v>-3.603E8</v>
      </c>
      <c r="EX46" s="8">
        <v>1.387E8</v>
      </c>
      <c r="EY46" s="5"/>
      <c r="EZ46" s="5"/>
    </row>
    <row r="47">
      <c r="A47" s="5" t="s">
        <v>131</v>
      </c>
      <c r="B47" s="10">
        <v>0.227</v>
      </c>
      <c r="C47" s="10">
        <v>0.229</v>
      </c>
      <c r="D47" s="10">
        <v>0.218</v>
      </c>
      <c r="E47" s="10">
        <v>0.232</v>
      </c>
      <c r="F47" s="10">
        <v>0.228</v>
      </c>
      <c r="G47" s="10">
        <v>0.221</v>
      </c>
      <c r="H47" s="10">
        <v>0.218</v>
      </c>
      <c r="I47" s="10">
        <v>0.212</v>
      </c>
      <c r="J47" s="10">
        <v>0.222</v>
      </c>
      <c r="K47" s="10">
        <v>0.214</v>
      </c>
      <c r="L47" s="10">
        <v>0.22</v>
      </c>
      <c r="M47" s="10">
        <v>0.227</v>
      </c>
      <c r="N47" s="10">
        <v>0.216</v>
      </c>
      <c r="O47" s="10">
        <v>0.215</v>
      </c>
      <c r="P47" s="10">
        <v>0.222</v>
      </c>
      <c r="Q47" s="10">
        <v>0.23</v>
      </c>
      <c r="R47" s="10">
        <v>0.217</v>
      </c>
      <c r="S47" s="10">
        <v>0.229</v>
      </c>
      <c r="T47" s="10">
        <v>0.208</v>
      </c>
      <c r="U47" s="10">
        <v>0.212</v>
      </c>
      <c r="V47" s="10">
        <v>0.2</v>
      </c>
      <c r="W47" s="10">
        <v>0.215</v>
      </c>
      <c r="X47" s="10">
        <v>0.216</v>
      </c>
      <c r="Y47" s="10">
        <v>0.27</v>
      </c>
      <c r="Z47" s="10">
        <v>0.358</v>
      </c>
      <c r="AA47" s="10">
        <v>0.372</v>
      </c>
      <c r="AB47" s="10">
        <v>0.372</v>
      </c>
      <c r="AC47" s="10">
        <v>0.368</v>
      </c>
      <c r="AD47" s="10">
        <v>0.362</v>
      </c>
      <c r="AE47" s="10">
        <v>0.368</v>
      </c>
      <c r="AF47" s="10">
        <v>0.354</v>
      </c>
      <c r="AG47" s="10">
        <v>0.361</v>
      </c>
      <c r="AH47" s="10">
        <v>0.37</v>
      </c>
      <c r="AI47" s="10">
        <v>0.38</v>
      </c>
      <c r="AJ47" s="10">
        <v>0.377</v>
      </c>
      <c r="AK47" s="10">
        <v>0.348</v>
      </c>
      <c r="AL47" s="10">
        <v>0.365</v>
      </c>
      <c r="AM47" s="10">
        <v>0.381</v>
      </c>
      <c r="AN47" s="10">
        <v>0.378</v>
      </c>
      <c r="AO47" s="10">
        <v>0.375</v>
      </c>
      <c r="AP47" s="10">
        <v>0.356</v>
      </c>
      <c r="AQ47" s="10">
        <v>0.374</v>
      </c>
      <c r="AR47" s="10">
        <v>0.374</v>
      </c>
      <c r="AS47" s="10">
        <v>0.359</v>
      </c>
      <c r="AT47" s="10">
        <v>0.374</v>
      </c>
      <c r="AU47" s="10">
        <v>0.341</v>
      </c>
      <c r="AV47" s="10">
        <v>0.382</v>
      </c>
      <c r="AW47" s="10">
        <v>0.375</v>
      </c>
      <c r="AX47" s="10">
        <v>0.371</v>
      </c>
      <c r="AY47" s="10">
        <v>0.368</v>
      </c>
      <c r="AZ47" s="10">
        <v>0.381</v>
      </c>
      <c r="BA47" s="10">
        <v>0.35</v>
      </c>
      <c r="BB47" s="10">
        <v>0.356</v>
      </c>
      <c r="BC47" s="10">
        <v>0.372</v>
      </c>
      <c r="BD47" s="10">
        <v>0.378</v>
      </c>
      <c r="BE47" s="10">
        <v>0.395</v>
      </c>
      <c r="BF47" s="10">
        <v>0.35</v>
      </c>
      <c r="BG47" s="10">
        <v>0.358</v>
      </c>
      <c r="BH47" s="10">
        <v>0.381</v>
      </c>
      <c r="BI47" s="10">
        <v>0.387</v>
      </c>
      <c r="BJ47" s="10">
        <v>0.35</v>
      </c>
      <c r="BK47" s="10">
        <v>0.378</v>
      </c>
      <c r="BL47" s="10">
        <v>0.35</v>
      </c>
      <c r="BM47" s="10">
        <v>0.371</v>
      </c>
      <c r="BN47" s="10">
        <v>0.36</v>
      </c>
      <c r="BO47" s="10">
        <v>0.224</v>
      </c>
      <c r="BP47" s="10">
        <v>0.326</v>
      </c>
      <c r="BQ47" s="10">
        <v>0.353</v>
      </c>
      <c r="BR47" s="10">
        <v>0.209</v>
      </c>
      <c r="BS47" s="10">
        <v>0.379</v>
      </c>
      <c r="BT47" s="10">
        <v>0.377</v>
      </c>
      <c r="BU47" s="10">
        <v>0.361</v>
      </c>
      <c r="BV47" s="10">
        <v>0.342</v>
      </c>
      <c r="BW47" s="10">
        <v>0.348</v>
      </c>
      <c r="BX47" s="10">
        <v>0.373</v>
      </c>
      <c r="BY47" s="10">
        <v>0.377</v>
      </c>
      <c r="BZ47" s="10">
        <v>0.339</v>
      </c>
      <c r="CA47" s="10">
        <v>0.315</v>
      </c>
      <c r="CB47" s="10">
        <v>0.372</v>
      </c>
      <c r="CC47" s="10">
        <v>0.391</v>
      </c>
      <c r="CD47" s="10">
        <v>0.369</v>
      </c>
      <c r="CE47" s="10">
        <v>0.362</v>
      </c>
      <c r="CF47" s="10">
        <v>0.355</v>
      </c>
      <c r="CG47" s="10">
        <v>0.357</v>
      </c>
      <c r="CH47" s="10">
        <v>0.359</v>
      </c>
      <c r="CI47" s="10">
        <v>0.367</v>
      </c>
      <c r="CJ47" s="10">
        <v>0.367</v>
      </c>
      <c r="CK47" s="10">
        <v>0.359</v>
      </c>
      <c r="CL47" s="10">
        <v>0.373</v>
      </c>
      <c r="CM47" s="10">
        <v>0.374</v>
      </c>
      <c r="CN47" s="10">
        <v>0.374</v>
      </c>
      <c r="CO47" s="10">
        <v>0.376</v>
      </c>
      <c r="CP47" s="10">
        <v>0.363</v>
      </c>
      <c r="CQ47" s="10">
        <v>0.362</v>
      </c>
      <c r="CR47" s="10">
        <v>0.363</v>
      </c>
      <c r="CS47" s="10">
        <v>0.362</v>
      </c>
      <c r="CT47" s="10">
        <v>0.362</v>
      </c>
      <c r="CU47" s="10">
        <v>0.363</v>
      </c>
      <c r="CV47" s="10">
        <v>0.363</v>
      </c>
      <c r="CW47" s="10">
        <v>0.33</v>
      </c>
      <c r="CX47" s="10">
        <v>0.359</v>
      </c>
      <c r="CY47" s="10">
        <v>0.373</v>
      </c>
      <c r="CZ47" s="10">
        <v>0.372</v>
      </c>
      <c r="DA47" s="10">
        <v>0.374</v>
      </c>
      <c r="DB47" s="10">
        <v>0.378</v>
      </c>
      <c r="DC47" s="10">
        <v>0.378</v>
      </c>
      <c r="DD47" s="10">
        <v>0.377</v>
      </c>
      <c r="DE47" s="10">
        <v>0.375</v>
      </c>
      <c r="DF47" s="10">
        <v>0.38</v>
      </c>
      <c r="DG47" s="10">
        <v>0.38</v>
      </c>
      <c r="DH47" s="10">
        <v>0.38</v>
      </c>
      <c r="DI47" s="10">
        <v>0.373</v>
      </c>
      <c r="DJ47" s="10">
        <v>0.385</v>
      </c>
      <c r="DK47" s="10">
        <v>0.385</v>
      </c>
      <c r="DL47" s="10">
        <v>0.087</v>
      </c>
      <c r="DM47" s="10">
        <v>0.378</v>
      </c>
      <c r="DN47" s="10">
        <v>0.378</v>
      </c>
      <c r="DO47" s="10">
        <v>0.378</v>
      </c>
      <c r="DP47" s="10">
        <v>0.379</v>
      </c>
      <c r="DQ47" s="10">
        <v>0.377</v>
      </c>
      <c r="DR47" s="10">
        <v>0.36</v>
      </c>
      <c r="DS47" s="10">
        <v>0.385</v>
      </c>
      <c r="DT47" s="10">
        <v>0.385</v>
      </c>
      <c r="DU47" s="10">
        <v>0.398</v>
      </c>
      <c r="DV47" s="10">
        <v>0.381</v>
      </c>
      <c r="DW47" s="10">
        <v>0.38</v>
      </c>
      <c r="DX47" s="10">
        <v>0.381</v>
      </c>
      <c r="DY47" s="10">
        <v>0.372</v>
      </c>
      <c r="DZ47" s="10">
        <v>0.386</v>
      </c>
      <c r="EA47" s="10">
        <v>0.387</v>
      </c>
      <c r="EB47" s="10">
        <v>0.368</v>
      </c>
      <c r="EC47" s="10">
        <v>0.355</v>
      </c>
      <c r="ED47" s="10">
        <v>0.391</v>
      </c>
      <c r="EE47" s="10">
        <v>0.39</v>
      </c>
      <c r="EF47" s="10">
        <v>0.333</v>
      </c>
      <c r="EG47" s="10">
        <v>0.381</v>
      </c>
      <c r="EH47" s="10">
        <v>0.4</v>
      </c>
      <c r="EI47" s="10">
        <v>0.391</v>
      </c>
      <c r="EJ47" s="10">
        <v>0.4</v>
      </c>
      <c r="EK47" s="10">
        <v>0.4</v>
      </c>
      <c r="EL47" s="10">
        <v>0.4</v>
      </c>
      <c r="EM47" s="10">
        <v>0.4</v>
      </c>
      <c r="EN47" s="10">
        <v>0.4</v>
      </c>
      <c r="EO47" s="10">
        <v>0.4</v>
      </c>
      <c r="EP47" s="10">
        <v>0.4</v>
      </c>
      <c r="EQ47" s="10">
        <v>0.4</v>
      </c>
      <c r="ER47" s="10">
        <v>0.4</v>
      </c>
      <c r="ES47" s="10">
        <v>0.4</v>
      </c>
      <c r="ET47" s="10">
        <v>0.4</v>
      </c>
      <c r="EU47" s="10">
        <v>0.4</v>
      </c>
      <c r="EV47" s="10">
        <v>0.4</v>
      </c>
      <c r="EW47" s="10">
        <v>0.4</v>
      </c>
      <c r="EX47" s="10">
        <v>0.4</v>
      </c>
      <c r="EY47" s="5"/>
      <c r="EZ47" s="5"/>
    </row>
    <row r="48">
      <c r="A48" s="5" t="s">
        <v>132</v>
      </c>
      <c r="B48" s="10">
        <v>0.0</v>
      </c>
      <c r="C48" s="10">
        <v>0.0</v>
      </c>
      <c r="D48" s="10">
        <v>0.0</v>
      </c>
      <c r="E48" s="10">
        <v>0.0</v>
      </c>
      <c r="F48" s="10">
        <v>0.0</v>
      </c>
      <c r="G48" s="10">
        <v>0.0</v>
      </c>
      <c r="H48" s="10">
        <v>0.0</v>
      </c>
      <c r="I48" s="10">
        <v>0.0</v>
      </c>
      <c r="J48" s="10">
        <v>0.0</v>
      </c>
      <c r="K48" s="10">
        <v>0.0</v>
      </c>
      <c r="L48" s="10">
        <v>0.0</v>
      </c>
      <c r="M48" s="10">
        <v>0.0</v>
      </c>
      <c r="N48" s="10">
        <v>0.0</v>
      </c>
      <c r="O48" s="10">
        <v>0.0</v>
      </c>
      <c r="P48" s="10">
        <v>0.0</v>
      </c>
      <c r="Q48" s="10">
        <v>0.0</v>
      </c>
      <c r="R48" s="10">
        <v>0.0</v>
      </c>
      <c r="S48" s="10">
        <v>0.0</v>
      </c>
      <c r="T48" s="10">
        <v>0.0</v>
      </c>
      <c r="U48" s="10">
        <v>0.0</v>
      </c>
      <c r="V48" s="10">
        <v>0.0</v>
      </c>
      <c r="W48" s="10">
        <v>0.0</v>
      </c>
      <c r="X48" s="10">
        <v>0.0</v>
      </c>
      <c r="Y48" s="10">
        <v>0.0</v>
      </c>
      <c r="Z48" s="10">
        <v>0.0</v>
      </c>
      <c r="AA48" s="10">
        <v>0.0</v>
      </c>
      <c r="AB48" s="10">
        <v>0.0</v>
      </c>
      <c r="AC48" s="10">
        <v>0.0</v>
      </c>
      <c r="AD48" s="10">
        <v>0.0</v>
      </c>
      <c r="AE48" s="10">
        <v>0.0</v>
      </c>
      <c r="AF48" s="10">
        <v>0.0</v>
      </c>
      <c r="AG48" s="10">
        <v>0.0</v>
      </c>
      <c r="AH48" s="10">
        <v>0.0</v>
      </c>
      <c r="AI48" s="10">
        <v>0.0</v>
      </c>
      <c r="AJ48" s="10">
        <v>0.0</v>
      </c>
      <c r="AK48" s="10">
        <v>0.0</v>
      </c>
      <c r="AL48" s="10">
        <v>0.0</v>
      </c>
      <c r="AM48" s="10">
        <v>0.0</v>
      </c>
      <c r="AN48" s="10">
        <v>0.0</v>
      </c>
      <c r="AO48" s="10">
        <v>0.0</v>
      </c>
      <c r="AP48" s="10">
        <v>0.0</v>
      </c>
      <c r="AQ48" s="10">
        <v>0.0</v>
      </c>
      <c r="AR48" s="10">
        <v>0.0</v>
      </c>
      <c r="AS48" s="10">
        <v>0.0</v>
      </c>
      <c r="AT48" s="11">
        <v>-646825.433</v>
      </c>
      <c r="AU48" s="11">
        <v>-9058312.406</v>
      </c>
      <c r="AV48" s="11">
        <v>-639060.95</v>
      </c>
      <c r="AW48" s="11">
        <v>-19132.082</v>
      </c>
      <c r="AX48" s="11">
        <v>-19676.614</v>
      </c>
      <c r="AY48" s="11">
        <v>-2.1445308804E7</v>
      </c>
      <c r="AZ48" s="11">
        <v>-866680.432</v>
      </c>
      <c r="BA48" s="11">
        <v>-41348.702</v>
      </c>
      <c r="BB48" s="11">
        <v>-2957265.968</v>
      </c>
      <c r="BC48" s="11">
        <v>-2429497.619</v>
      </c>
      <c r="BD48" s="11">
        <v>-54778.191</v>
      </c>
      <c r="BE48" s="11">
        <v>-2.2048742327E7</v>
      </c>
      <c r="BF48" s="8">
        <v>-179550.0</v>
      </c>
      <c r="BG48" s="11">
        <v>856388.161</v>
      </c>
      <c r="BH48" s="11">
        <v>-634850.441</v>
      </c>
      <c r="BI48" s="11">
        <v>2377045.886</v>
      </c>
      <c r="BJ48" s="8">
        <v>-1.21681E7</v>
      </c>
      <c r="BK48" s="11">
        <v>-110307.906</v>
      </c>
      <c r="BL48" s="10">
        <v>0.0</v>
      </c>
      <c r="BM48" s="11">
        <v>1702630.219</v>
      </c>
      <c r="BN48" s="11">
        <v>-2445392.294</v>
      </c>
      <c r="BO48" s="11">
        <v>127186.589</v>
      </c>
      <c r="BP48" s="10">
        <v>0.0</v>
      </c>
      <c r="BQ48" s="10">
        <v>0.0</v>
      </c>
      <c r="BR48" s="10">
        <v>0.0</v>
      </c>
      <c r="BS48" s="10">
        <v>0.0</v>
      </c>
      <c r="BT48" s="10">
        <v>0.0</v>
      </c>
      <c r="BU48" s="10">
        <v>0.0</v>
      </c>
      <c r="BV48" s="10">
        <v>0.0</v>
      </c>
      <c r="BW48" s="10">
        <v>0.0</v>
      </c>
      <c r="BX48" s="10">
        <v>0.0</v>
      </c>
      <c r="BY48" s="10">
        <v>0.0</v>
      </c>
      <c r="BZ48" s="10">
        <v>0.0</v>
      </c>
      <c r="CA48" s="10">
        <v>0.0</v>
      </c>
      <c r="CB48" s="10">
        <v>0.0</v>
      </c>
      <c r="CC48" s="11">
        <v>-3912057.594</v>
      </c>
      <c r="CD48" s="10">
        <v>0.0</v>
      </c>
      <c r="CE48" s="10">
        <v>0.0</v>
      </c>
      <c r="CF48" s="10">
        <v>0.0</v>
      </c>
      <c r="CG48" s="10">
        <v>0.0</v>
      </c>
      <c r="CH48" s="11">
        <v>8983943.19</v>
      </c>
      <c r="CI48" s="11">
        <v>1651517.416</v>
      </c>
      <c r="CJ48" s="10">
        <v>0.0</v>
      </c>
      <c r="CK48" s="10">
        <v>0.0</v>
      </c>
      <c r="CL48" s="10">
        <v>0.0</v>
      </c>
      <c r="CM48" s="10">
        <v>0.0</v>
      </c>
      <c r="CN48" s="10">
        <v>0.0</v>
      </c>
      <c r="CO48" s="10">
        <v>0.0</v>
      </c>
      <c r="CP48" s="10">
        <v>0.0</v>
      </c>
      <c r="CQ48" s="10">
        <v>0.0</v>
      </c>
      <c r="CR48" s="10">
        <v>0.0</v>
      </c>
      <c r="CS48" s="10">
        <v>0.0</v>
      </c>
      <c r="CT48" s="10">
        <v>0.0</v>
      </c>
      <c r="CU48" s="10">
        <v>0.0</v>
      </c>
      <c r="CV48" s="10">
        <v>0.0</v>
      </c>
      <c r="CW48" s="10">
        <v>0.0</v>
      </c>
      <c r="CX48" s="10">
        <v>0.0</v>
      </c>
      <c r="CY48" s="10">
        <v>0.0</v>
      </c>
      <c r="CZ48" s="10">
        <v>0.0</v>
      </c>
      <c r="DA48" s="10">
        <v>0.0</v>
      </c>
      <c r="DB48" s="10">
        <v>0.0</v>
      </c>
      <c r="DC48" s="10">
        <v>0.0</v>
      </c>
      <c r="DD48" s="10">
        <v>0.0</v>
      </c>
      <c r="DE48" s="10">
        <v>0.0</v>
      </c>
      <c r="DF48" s="10">
        <v>0.0</v>
      </c>
      <c r="DG48" s="10">
        <v>0.0</v>
      </c>
      <c r="DH48" s="10">
        <v>0.0</v>
      </c>
      <c r="DI48" s="10">
        <v>0.0</v>
      </c>
      <c r="DJ48" s="10">
        <v>0.0</v>
      </c>
      <c r="DK48" s="10">
        <v>0.0</v>
      </c>
      <c r="DL48" s="10">
        <v>0.0</v>
      </c>
      <c r="DM48" s="10">
        <v>0.0</v>
      </c>
      <c r="DN48" s="10">
        <v>0.0</v>
      </c>
      <c r="DO48" s="10">
        <v>0.0</v>
      </c>
      <c r="DP48" s="10">
        <v>0.0</v>
      </c>
      <c r="DQ48" s="10">
        <v>0.0</v>
      </c>
      <c r="DR48" s="10">
        <v>0.0</v>
      </c>
      <c r="DS48" s="10">
        <v>0.0</v>
      </c>
      <c r="DT48" s="10">
        <v>0.0</v>
      </c>
      <c r="DU48" s="10">
        <v>0.0</v>
      </c>
      <c r="DV48" s="10">
        <v>0.0</v>
      </c>
      <c r="DW48" s="10">
        <v>0.0</v>
      </c>
      <c r="DX48" s="10">
        <v>0.0</v>
      </c>
      <c r="DY48" s="10">
        <v>0.0</v>
      </c>
      <c r="DZ48" s="10">
        <v>0.0</v>
      </c>
      <c r="EA48" s="10">
        <v>0.0</v>
      </c>
      <c r="EB48" s="10">
        <v>0.0</v>
      </c>
      <c r="EC48" s="10">
        <v>0.0</v>
      </c>
      <c r="ED48" s="10">
        <v>0.0</v>
      </c>
      <c r="EE48" s="10">
        <v>0.0</v>
      </c>
      <c r="EF48" s="10">
        <v>0.0</v>
      </c>
      <c r="EG48" s="10">
        <v>0.0</v>
      </c>
      <c r="EH48" s="10">
        <v>0.0</v>
      </c>
      <c r="EI48" s="10">
        <v>0.0</v>
      </c>
      <c r="EJ48" s="10">
        <v>0.0</v>
      </c>
      <c r="EK48" s="10">
        <v>0.0</v>
      </c>
      <c r="EL48" s="10">
        <v>0.0</v>
      </c>
      <c r="EM48" s="10">
        <v>0.0</v>
      </c>
      <c r="EN48" s="10">
        <v>0.0</v>
      </c>
      <c r="EO48" s="10">
        <v>0.0</v>
      </c>
      <c r="EP48" s="10">
        <v>0.0</v>
      </c>
      <c r="EQ48" s="10">
        <v>0.0</v>
      </c>
      <c r="ER48" s="10">
        <v>0.0</v>
      </c>
      <c r="ES48" s="10">
        <v>0.0</v>
      </c>
      <c r="ET48" s="10">
        <v>0.0</v>
      </c>
      <c r="EU48" s="10">
        <v>0.0</v>
      </c>
      <c r="EV48" s="10">
        <v>0.0</v>
      </c>
      <c r="EW48" s="10">
        <v>0.0</v>
      </c>
      <c r="EX48" s="10">
        <v>0.0</v>
      </c>
      <c r="EY48" s="5"/>
      <c r="E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133</v>
      </c>
      <c r="B3" s="1" t="s">
        <v>134</v>
      </c>
      <c r="C3" s="3">
        <v>46965.0</v>
      </c>
      <c r="D3" s="3">
        <v>46873.0</v>
      </c>
      <c r="E3" s="3">
        <v>46783.0</v>
      </c>
      <c r="F3" s="3">
        <v>46691.0</v>
      </c>
      <c r="G3" s="3">
        <v>46599.0</v>
      </c>
      <c r="H3" s="3">
        <v>46507.0</v>
      </c>
      <c r="I3" s="3">
        <v>46418.0</v>
      </c>
      <c r="J3" s="3">
        <v>46326.0</v>
      </c>
      <c r="K3" s="3">
        <v>46234.0</v>
      </c>
      <c r="L3" s="3">
        <v>46142.0</v>
      </c>
      <c r="M3" s="3">
        <v>46053.0</v>
      </c>
      <c r="N3" s="3">
        <v>45961.0</v>
      </c>
      <c r="O3" s="3">
        <v>45869.0</v>
      </c>
      <c r="P3" s="3">
        <v>45777.0</v>
      </c>
      <c r="Q3" s="3">
        <v>45688.0</v>
      </c>
      <c r="R3" s="3">
        <v>45596.0</v>
      </c>
      <c r="S3" s="3">
        <v>45504.0</v>
      </c>
      <c r="T3" s="3">
        <v>45412.0</v>
      </c>
      <c r="U3" s="3">
        <v>45322.0</v>
      </c>
      <c r="V3" s="3">
        <v>45230.0</v>
      </c>
      <c r="W3" s="2">
        <f>DG_quarterly_pl!C1</f>
        <v>45138</v>
      </c>
      <c r="X3" s="2">
        <f>DG_quarterly_pl!D1</f>
        <v>45046</v>
      </c>
      <c r="Y3" s="2">
        <f>DG_quarterly_pl!E1</f>
        <v>44957</v>
      </c>
      <c r="Z3" s="3">
        <f>DG_quarterly_pl!F1</f>
        <v>44865</v>
      </c>
      <c r="AA3" s="2">
        <f>DG_quarterly_pl!G1</f>
        <v>44773</v>
      </c>
      <c r="AB3" s="2">
        <f>DG_quarterly_pl!H1</f>
        <v>44681</v>
      </c>
      <c r="AC3" s="2">
        <f>DG_quarterly_pl!I1</f>
        <v>44592</v>
      </c>
      <c r="AD3" s="3">
        <f>DG_quarterly_pl!J1</f>
        <v>44500</v>
      </c>
      <c r="AE3" s="2">
        <f>DG_quarterly_pl!K1</f>
        <v>44408</v>
      </c>
      <c r="AF3" s="2">
        <f>DG_quarterly_pl!L1</f>
        <v>44316</v>
      </c>
    </row>
    <row r="4">
      <c r="A4" s="1" t="s">
        <v>135</v>
      </c>
      <c r="B4" s="12">
        <f>C4</f>
        <v>13379617835</v>
      </c>
      <c r="C4" s="12">
        <f t="shared" ref="C4:V4" si="1">FORECAST(C3,D4:M4,D3:M3)</f>
        <v>13379617835</v>
      </c>
      <c r="D4" s="12">
        <f t="shared" si="1"/>
        <v>13197736865</v>
      </c>
      <c r="E4" s="12">
        <f t="shared" si="1"/>
        <v>13043653297</v>
      </c>
      <c r="F4" s="12">
        <f t="shared" si="1"/>
        <v>12875228009</v>
      </c>
      <c r="G4" s="12">
        <f t="shared" si="1"/>
        <v>12702873835</v>
      </c>
      <c r="H4" s="12">
        <f t="shared" si="1"/>
        <v>12516844299</v>
      </c>
      <c r="I4" s="12">
        <f t="shared" si="1"/>
        <v>12338064598</v>
      </c>
      <c r="J4" s="12">
        <f t="shared" si="1"/>
        <v>12160306088</v>
      </c>
      <c r="K4" s="12">
        <f t="shared" si="1"/>
        <v>11994564913</v>
      </c>
      <c r="L4" s="12">
        <f t="shared" si="1"/>
        <v>11829849274</v>
      </c>
      <c r="M4" s="12">
        <f t="shared" si="1"/>
        <v>11682969212</v>
      </c>
      <c r="N4" s="12">
        <f t="shared" si="1"/>
        <v>11554650794</v>
      </c>
      <c r="O4" s="12">
        <f t="shared" si="1"/>
        <v>11250052590</v>
      </c>
      <c r="P4" s="12">
        <f t="shared" si="1"/>
        <v>11094320769</v>
      </c>
      <c r="Q4" s="12">
        <f t="shared" si="1"/>
        <v>10924031934</v>
      </c>
      <c r="R4" s="12">
        <f t="shared" si="1"/>
        <v>10828058096</v>
      </c>
      <c r="S4" s="12">
        <f t="shared" si="1"/>
        <v>10681790206</v>
      </c>
      <c r="T4" s="12">
        <f t="shared" si="1"/>
        <v>10507303929</v>
      </c>
      <c r="U4" s="12">
        <f t="shared" si="1"/>
        <v>10283160809</v>
      </c>
      <c r="V4" s="12">
        <f t="shared" si="1"/>
        <v>10086804744</v>
      </c>
      <c r="W4" s="13">
        <v>9.796181E9</v>
      </c>
      <c r="X4" s="13">
        <v>9.342832E9</v>
      </c>
      <c r="Y4" s="13">
        <v>1.0202907E10</v>
      </c>
      <c r="Z4" s="13">
        <v>9.464891E9</v>
      </c>
      <c r="AA4" s="13">
        <v>9.425713E9</v>
      </c>
      <c r="AB4" s="13">
        <v>8.751352E9</v>
      </c>
      <c r="AC4" s="13">
        <v>8.651448E9</v>
      </c>
      <c r="AD4" s="13">
        <v>8.517839E9</v>
      </c>
      <c r="AE4" s="13">
        <v>8.650198E9</v>
      </c>
      <c r="AF4" s="13">
        <v>8.400964E9</v>
      </c>
    </row>
    <row r="5">
      <c r="A5" s="1" t="s">
        <v>136</v>
      </c>
      <c r="B5" s="14"/>
      <c r="C5" s="15">
        <f t="shared" ref="C5:U5" si="2">D5</f>
        <v>0.043820696</v>
      </c>
      <c r="D5" s="15">
        <f t="shared" si="2"/>
        <v>0.043820696</v>
      </c>
      <c r="E5" s="15">
        <f t="shared" si="2"/>
        <v>0.043820696</v>
      </c>
      <c r="F5" s="15">
        <f t="shared" si="2"/>
        <v>0.043820696</v>
      </c>
      <c r="G5" s="15">
        <f t="shared" si="2"/>
        <v>0.043820696</v>
      </c>
      <c r="H5" s="15">
        <f t="shared" si="2"/>
        <v>0.043820696</v>
      </c>
      <c r="I5" s="15">
        <f t="shared" si="2"/>
        <v>0.043820696</v>
      </c>
      <c r="J5" s="15">
        <f t="shared" si="2"/>
        <v>0.043820696</v>
      </c>
      <c r="K5" s="15">
        <f t="shared" si="2"/>
        <v>0.043820696</v>
      </c>
      <c r="L5" s="15">
        <f t="shared" si="2"/>
        <v>0.043820696</v>
      </c>
      <c r="M5" s="15">
        <f t="shared" si="2"/>
        <v>0.043820696</v>
      </c>
      <c r="N5" s="15">
        <f t="shared" si="2"/>
        <v>0.043820696</v>
      </c>
      <c r="O5" s="15">
        <f t="shared" si="2"/>
        <v>0.043820696</v>
      </c>
      <c r="P5" s="15">
        <f t="shared" si="2"/>
        <v>0.043820696</v>
      </c>
      <c r="Q5" s="15">
        <f t="shared" si="2"/>
        <v>0.043820696</v>
      </c>
      <c r="R5" s="15">
        <f t="shared" si="2"/>
        <v>0.043820696</v>
      </c>
      <c r="S5" s="15">
        <f t="shared" si="2"/>
        <v>0.043820696</v>
      </c>
      <c r="T5" s="15">
        <f t="shared" si="2"/>
        <v>0.043820696</v>
      </c>
      <c r="U5" s="15">
        <f t="shared" si="2"/>
        <v>0.043820696</v>
      </c>
      <c r="V5" s="15">
        <f>sum(W6:AC6)/sum(W4:AF4)</f>
        <v>0.043820696</v>
      </c>
      <c r="W5" s="16">
        <v>0.04785895646476928</v>
      </c>
      <c r="X5" s="16">
        <v>0.055056111465988045</v>
      </c>
      <c r="Y5" s="16">
        <v>0.06460266667137121</v>
      </c>
      <c r="Z5" s="16">
        <v>0.055591448438233465</v>
      </c>
      <c r="AA5" s="16">
        <v>0.07193408074275123</v>
      </c>
      <c r="AB5" s="16">
        <v>0.0631510422618128</v>
      </c>
      <c r="AC5" s="16">
        <v>0.06905583897631934</v>
      </c>
      <c r="AD5" s="16">
        <v>0.05717776539331161</v>
      </c>
      <c r="AE5" s="16">
        <v>0.07364212934779066</v>
      </c>
      <c r="AF5" s="16">
        <v>0.08067514632844516</v>
      </c>
    </row>
    <row r="6">
      <c r="A6" s="1" t="s">
        <v>137</v>
      </c>
      <c r="B6" s="14"/>
      <c r="C6" s="17">
        <f t="shared" ref="C6:V6" si="3">C5*C4</f>
        <v>586304165.8</v>
      </c>
      <c r="D6" s="17">
        <f t="shared" si="3"/>
        <v>578334015.1</v>
      </c>
      <c r="E6" s="17">
        <f t="shared" si="3"/>
        <v>571581965.9</v>
      </c>
      <c r="F6" s="17">
        <f t="shared" si="3"/>
        <v>564201452.6</v>
      </c>
      <c r="G6" s="17">
        <f t="shared" si="3"/>
        <v>556648772.7</v>
      </c>
      <c r="H6" s="17">
        <f t="shared" si="3"/>
        <v>548496828.9</v>
      </c>
      <c r="I6" s="17">
        <f t="shared" si="3"/>
        <v>540662578</v>
      </c>
      <c r="J6" s="17">
        <f t="shared" si="3"/>
        <v>532873076.4</v>
      </c>
      <c r="K6" s="17">
        <f t="shared" si="3"/>
        <v>525610182.7</v>
      </c>
      <c r="L6" s="17">
        <f t="shared" si="3"/>
        <v>518392228.8</v>
      </c>
      <c r="M6" s="17">
        <f t="shared" si="3"/>
        <v>511955842.2</v>
      </c>
      <c r="N6" s="17">
        <f t="shared" si="3"/>
        <v>506332839.9</v>
      </c>
      <c r="O6" s="17">
        <f t="shared" si="3"/>
        <v>492985134.6</v>
      </c>
      <c r="P6" s="17">
        <f t="shared" si="3"/>
        <v>486160857.8</v>
      </c>
      <c r="Q6" s="17">
        <f t="shared" si="3"/>
        <v>478698682.5</v>
      </c>
      <c r="R6" s="17">
        <f t="shared" si="3"/>
        <v>474493042.1</v>
      </c>
      <c r="S6" s="17">
        <f t="shared" si="3"/>
        <v>468083481.4</v>
      </c>
      <c r="T6" s="17">
        <f t="shared" si="3"/>
        <v>460437371.3</v>
      </c>
      <c r="U6" s="17">
        <f t="shared" si="3"/>
        <v>450615263.8</v>
      </c>
      <c r="V6" s="17">
        <f t="shared" si="3"/>
        <v>442010804.3</v>
      </c>
      <c r="W6" s="18">
        <v>4.68835E8</v>
      </c>
      <c r="X6" s="18">
        <v>5.1438E8</v>
      </c>
      <c r="Y6" s="18">
        <v>6.59135E8</v>
      </c>
      <c r="Z6" s="18">
        <v>5.26167E8</v>
      </c>
      <c r="AA6" s="18">
        <v>6.7803E8</v>
      </c>
      <c r="AB6" s="18">
        <v>5.52657E8</v>
      </c>
      <c r="AC6" s="18">
        <v>5.97433E8</v>
      </c>
      <c r="AD6" s="18">
        <v>4.87031E8</v>
      </c>
      <c r="AE6" s="18">
        <v>6.37019E8</v>
      </c>
      <c r="AF6" s="18">
        <v>6.77749E8</v>
      </c>
    </row>
    <row r="7">
      <c r="A7" s="1" t="s">
        <v>138</v>
      </c>
      <c r="B7" s="19">
        <f t="shared" ref="B7:V7" si="4">C7</f>
        <v>219952000</v>
      </c>
      <c r="C7" s="19">
        <f t="shared" si="4"/>
        <v>219952000</v>
      </c>
      <c r="D7" s="19">
        <f t="shared" si="4"/>
        <v>219952000</v>
      </c>
      <c r="E7" s="19">
        <f t="shared" si="4"/>
        <v>219952000</v>
      </c>
      <c r="F7" s="19">
        <f t="shared" si="4"/>
        <v>219952000</v>
      </c>
      <c r="G7" s="19">
        <f t="shared" si="4"/>
        <v>219952000</v>
      </c>
      <c r="H7" s="19">
        <f t="shared" si="4"/>
        <v>219952000</v>
      </c>
      <c r="I7" s="19">
        <f t="shared" si="4"/>
        <v>219952000</v>
      </c>
      <c r="J7" s="19">
        <f t="shared" si="4"/>
        <v>219952000</v>
      </c>
      <c r="K7" s="19">
        <f t="shared" si="4"/>
        <v>219952000</v>
      </c>
      <c r="L7" s="19">
        <f t="shared" si="4"/>
        <v>219952000</v>
      </c>
      <c r="M7" s="19">
        <f t="shared" si="4"/>
        <v>219952000</v>
      </c>
      <c r="N7" s="19">
        <f t="shared" si="4"/>
        <v>219952000</v>
      </c>
      <c r="O7" s="19">
        <f t="shared" si="4"/>
        <v>219952000</v>
      </c>
      <c r="P7" s="19">
        <f t="shared" si="4"/>
        <v>219952000</v>
      </c>
      <c r="Q7" s="19">
        <f t="shared" si="4"/>
        <v>219952000</v>
      </c>
      <c r="R7" s="19">
        <f t="shared" si="4"/>
        <v>219952000</v>
      </c>
      <c r="S7" s="19">
        <f t="shared" si="4"/>
        <v>219952000</v>
      </c>
      <c r="T7" s="19">
        <f t="shared" si="4"/>
        <v>219952000</v>
      </c>
      <c r="U7" s="19">
        <f t="shared" si="4"/>
        <v>219952000</v>
      </c>
      <c r="V7" s="19">
        <f t="shared" si="4"/>
        <v>219952000</v>
      </c>
      <c r="W7" s="20">
        <v>2.19952E8</v>
      </c>
      <c r="X7" s="20">
        <v>2.20107E8</v>
      </c>
      <c r="Y7" s="20">
        <v>2.22426997E8</v>
      </c>
      <c r="Z7" s="20">
        <v>2.25697001E8</v>
      </c>
      <c r="AA7" s="20">
        <v>2.27456E8</v>
      </c>
      <c r="AB7" s="20">
        <v>2.29609E8</v>
      </c>
      <c r="AC7" s="20">
        <v>2.32514997E8</v>
      </c>
      <c r="AD7" s="20">
        <v>2.34026001E8</v>
      </c>
      <c r="AE7" s="20">
        <v>2.36406001E8</v>
      </c>
      <c r="AF7" s="20">
        <v>2.40301001E8</v>
      </c>
    </row>
    <row r="8">
      <c r="A8" s="1" t="s">
        <v>139</v>
      </c>
      <c r="B8" s="14"/>
      <c r="C8" s="12">
        <f t="shared" ref="C8:V8" si="5">C6/C7</f>
        <v>2.665600521</v>
      </c>
      <c r="D8" s="12">
        <f t="shared" si="5"/>
        <v>2.629364657</v>
      </c>
      <c r="E8" s="12">
        <f t="shared" si="5"/>
        <v>2.598666827</v>
      </c>
      <c r="F8" s="12">
        <f t="shared" si="5"/>
        <v>2.565111718</v>
      </c>
      <c r="G8" s="12">
        <f t="shared" si="5"/>
        <v>2.530773863</v>
      </c>
      <c r="H8" s="12">
        <f t="shared" si="5"/>
        <v>2.493711487</v>
      </c>
      <c r="I8" s="12">
        <f t="shared" si="5"/>
        <v>2.458093484</v>
      </c>
      <c r="J8" s="12">
        <f t="shared" si="5"/>
        <v>2.422678932</v>
      </c>
      <c r="K8" s="12">
        <f t="shared" si="5"/>
        <v>2.389658574</v>
      </c>
      <c r="L8" s="12">
        <f t="shared" si="5"/>
        <v>2.356842533</v>
      </c>
      <c r="M8" s="12">
        <f t="shared" si="5"/>
        <v>2.327579846</v>
      </c>
      <c r="N8" s="12">
        <f t="shared" si="5"/>
        <v>2.302015166</v>
      </c>
      <c r="O8" s="12">
        <f t="shared" si="5"/>
        <v>2.241330538</v>
      </c>
      <c r="P8" s="12">
        <f t="shared" si="5"/>
        <v>2.210304329</v>
      </c>
      <c r="Q8" s="12">
        <f t="shared" si="5"/>
        <v>2.176377948</v>
      </c>
      <c r="R8" s="12">
        <f t="shared" si="5"/>
        <v>2.15725723</v>
      </c>
      <c r="S8" s="12">
        <f t="shared" si="5"/>
        <v>2.128116504</v>
      </c>
      <c r="T8" s="12">
        <f t="shared" si="5"/>
        <v>2.093353874</v>
      </c>
      <c r="U8" s="12">
        <f t="shared" si="5"/>
        <v>2.048698188</v>
      </c>
      <c r="V8" s="12">
        <f t="shared" si="5"/>
        <v>2.009578473</v>
      </c>
      <c r="W8" s="13">
        <v>2.131533243616789</v>
      </c>
      <c r="X8" s="13">
        <v>2.336954299499789</v>
      </c>
      <c r="Y8" s="13">
        <v>2.9633767882951725</v>
      </c>
      <c r="Z8" s="13">
        <v>2.3312981460484714</v>
      </c>
      <c r="AA8" s="13">
        <v>2.980928179516038</v>
      </c>
      <c r="AB8" s="13">
        <v>2.406948333906772</v>
      </c>
      <c r="AC8" s="13">
        <v>2.5694385639993795</v>
      </c>
      <c r="AD8" s="13">
        <v>2.081097817844608</v>
      </c>
      <c r="AE8" s="13">
        <v>2.6945974184470893</v>
      </c>
      <c r="AF8" s="13">
        <v>2.820416882075327</v>
      </c>
    </row>
    <row r="9">
      <c r="A9" s="21"/>
      <c r="B9" s="18"/>
    </row>
    <row r="11">
      <c r="A11" s="1" t="s">
        <v>140</v>
      </c>
      <c r="B11" s="21">
        <v>0.05</v>
      </c>
    </row>
    <row r="12">
      <c r="A12" s="1" t="s">
        <v>141</v>
      </c>
      <c r="B12" s="1">
        <v>0.39</v>
      </c>
    </row>
    <row r="13">
      <c r="A13" s="1" t="s">
        <v>142</v>
      </c>
      <c r="B13" s="15">
        <f>1/('DG_quarterly_balance-sheet'!B82/'DG_quarterly_balance-sheet'!B64)</f>
        <v>0.3491772299</v>
      </c>
    </row>
    <row r="14">
      <c r="A14" s="1" t="s">
        <v>143</v>
      </c>
      <c r="B14" s="22">
        <f>1-B13</f>
        <v>0.6508227701</v>
      </c>
    </row>
    <row r="15">
      <c r="A15" s="1" t="s">
        <v>144</v>
      </c>
      <c r="B15" s="15">
        <f>DG_quarterly_pl!C14*4/'DG_quarterly_balance-sheet'!C82</f>
        <v>0.01875160537</v>
      </c>
    </row>
    <row r="16">
      <c r="A16" s="1" t="s">
        <v>145</v>
      </c>
      <c r="B16" s="15">
        <f>B11-B12*(0.1-B11)</f>
        <v>0.0305</v>
      </c>
    </row>
    <row r="17">
      <c r="A17" s="1" t="s">
        <v>146</v>
      </c>
      <c r="B17" s="15">
        <f>(B16*B13)+(B15*B14)</f>
        <v>0.02285387727</v>
      </c>
    </row>
    <row r="18">
      <c r="A18" s="1" t="s">
        <v>147</v>
      </c>
      <c r="B18" s="1">
        <v>0.86</v>
      </c>
    </row>
    <row r="19">
      <c r="A19" s="1" t="s">
        <v>148</v>
      </c>
      <c r="B19" s="17">
        <f t="array" ref="B19">NPV(B17/4,20,C8:U8)</f>
        <v>62.08532526</v>
      </c>
    </row>
    <row r="20">
      <c r="A20" s="1" t="s">
        <v>149</v>
      </c>
      <c r="B20" s="12">
        <f>B4*4*B18/(B7)</f>
        <v>209.2542253</v>
      </c>
    </row>
    <row r="21">
      <c r="A21" s="23" t="s">
        <v>150</v>
      </c>
      <c r="B21" s="24">
        <f>B20+B19</f>
        <v>271.3395505</v>
      </c>
    </row>
    <row r="28">
      <c r="A28" s="1" t="s">
        <v>151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133</v>
      </c>
      <c r="B3" s="1" t="s">
        <v>134</v>
      </c>
      <c r="C3" s="3">
        <v>46965.0</v>
      </c>
      <c r="D3" s="3">
        <v>46873.0</v>
      </c>
      <c r="E3" s="3">
        <v>46783.0</v>
      </c>
      <c r="F3" s="3">
        <v>46691.0</v>
      </c>
      <c r="G3" s="3">
        <v>46599.0</v>
      </c>
      <c r="H3" s="3">
        <v>46507.0</v>
      </c>
      <c r="I3" s="3">
        <v>46418.0</v>
      </c>
      <c r="J3" s="3">
        <v>46326.0</v>
      </c>
      <c r="K3" s="3">
        <v>46234.0</v>
      </c>
      <c r="L3" s="3">
        <v>46142.0</v>
      </c>
      <c r="M3" s="3">
        <v>46053.0</v>
      </c>
      <c r="N3" s="3">
        <v>45961.0</v>
      </c>
      <c r="O3" s="3">
        <v>45869.0</v>
      </c>
      <c r="P3" s="3">
        <v>45777.0</v>
      </c>
      <c r="Q3" s="3">
        <v>45688.0</v>
      </c>
      <c r="R3" s="3">
        <v>45596.0</v>
      </c>
      <c r="S3" s="3">
        <v>45504.0</v>
      </c>
      <c r="T3" s="3">
        <v>45412.0</v>
      </c>
      <c r="U3" s="3">
        <v>45322.0</v>
      </c>
      <c r="V3" s="3">
        <v>45230.0</v>
      </c>
      <c r="W3" s="2">
        <f>DG_quarterly_pl!C1</f>
        <v>45138</v>
      </c>
      <c r="X3" s="2">
        <f>DG_quarterly_pl!D1</f>
        <v>45046</v>
      </c>
      <c r="Y3" s="2">
        <f>DG_quarterly_pl!E1</f>
        <v>44957</v>
      </c>
      <c r="Z3" s="3">
        <f>DG_quarterly_pl!F1</f>
        <v>44865</v>
      </c>
      <c r="AA3" s="2">
        <f>DG_quarterly_pl!G1</f>
        <v>44773</v>
      </c>
      <c r="AB3" s="2">
        <f>DG_quarterly_pl!H1</f>
        <v>44681</v>
      </c>
      <c r="AC3" s="2">
        <f>DG_quarterly_pl!I1</f>
        <v>44592</v>
      </c>
      <c r="AD3" s="3">
        <f>DG_quarterly_pl!J1</f>
        <v>44500</v>
      </c>
      <c r="AE3" s="2">
        <f>DG_quarterly_pl!K1</f>
        <v>44408</v>
      </c>
      <c r="AF3" s="2">
        <f>DG_quarterly_pl!L1</f>
        <v>44316</v>
      </c>
    </row>
    <row r="4">
      <c r="A4" s="1" t="s">
        <v>135</v>
      </c>
      <c r="B4" s="12">
        <f t="shared" ref="B4:V4" si="1">C4</f>
        <v>9796181000</v>
      </c>
      <c r="C4" s="12">
        <f t="shared" si="1"/>
        <v>9796181000</v>
      </c>
      <c r="D4" s="12">
        <f t="shared" si="1"/>
        <v>9796181000</v>
      </c>
      <c r="E4" s="12">
        <f t="shared" si="1"/>
        <v>9796181000</v>
      </c>
      <c r="F4" s="12">
        <f t="shared" si="1"/>
        <v>9796181000</v>
      </c>
      <c r="G4" s="12">
        <f t="shared" si="1"/>
        <v>9796181000</v>
      </c>
      <c r="H4" s="12">
        <f t="shared" si="1"/>
        <v>9796181000</v>
      </c>
      <c r="I4" s="12">
        <f t="shared" si="1"/>
        <v>9796181000</v>
      </c>
      <c r="J4" s="12">
        <f t="shared" si="1"/>
        <v>9796181000</v>
      </c>
      <c r="K4" s="12">
        <f t="shared" si="1"/>
        <v>9796181000</v>
      </c>
      <c r="L4" s="12">
        <f t="shared" si="1"/>
        <v>9796181000</v>
      </c>
      <c r="M4" s="12">
        <f t="shared" si="1"/>
        <v>9796181000</v>
      </c>
      <c r="N4" s="12">
        <f t="shared" si="1"/>
        <v>9796181000</v>
      </c>
      <c r="O4" s="12">
        <f t="shared" si="1"/>
        <v>9796181000</v>
      </c>
      <c r="P4" s="12">
        <f t="shared" si="1"/>
        <v>9796181000</v>
      </c>
      <c r="Q4" s="12">
        <f t="shared" si="1"/>
        <v>9796181000</v>
      </c>
      <c r="R4" s="12">
        <f t="shared" si="1"/>
        <v>9796181000</v>
      </c>
      <c r="S4" s="12">
        <f t="shared" si="1"/>
        <v>9796181000</v>
      </c>
      <c r="T4" s="12">
        <f t="shared" si="1"/>
        <v>9796181000</v>
      </c>
      <c r="U4" s="12">
        <f t="shared" si="1"/>
        <v>9796181000</v>
      </c>
      <c r="V4" s="12">
        <f t="shared" si="1"/>
        <v>9796181000</v>
      </c>
      <c r="W4" s="13">
        <v>9.796181E9</v>
      </c>
      <c r="X4" s="13">
        <v>9.342832E9</v>
      </c>
      <c r="Y4" s="13">
        <v>1.0202907E10</v>
      </c>
      <c r="Z4" s="13">
        <v>9.464891E9</v>
      </c>
      <c r="AA4" s="13">
        <v>9.425713E9</v>
      </c>
      <c r="AB4" s="13">
        <v>8.751352E9</v>
      </c>
      <c r="AC4" s="13">
        <v>8.651448E9</v>
      </c>
      <c r="AD4" s="13">
        <v>8.517839E9</v>
      </c>
      <c r="AE4" s="13">
        <v>8.650198E9</v>
      </c>
      <c r="AF4" s="13">
        <v>8.400964E9</v>
      </c>
    </row>
    <row r="5">
      <c r="A5" s="1" t="s">
        <v>136</v>
      </c>
      <c r="B5" s="14"/>
      <c r="C5" s="15">
        <f t="shared" ref="C5:V5" si="2">D5</f>
        <v>0.04785895646</v>
      </c>
      <c r="D5" s="15">
        <f t="shared" si="2"/>
        <v>0.04785895646</v>
      </c>
      <c r="E5" s="15">
        <f t="shared" si="2"/>
        <v>0.04785895646</v>
      </c>
      <c r="F5" s="15">
        <f t="shared" si="2"/>
        <v>0.04785895646</v>
      </c>
      <c r="G5" s="15">
        <f t="shared" si="2"/>
        <v>0.04785895646</v>
      </c>
      <c r="H5" s="15">
        <f t="shared" si="2"/>
        <v>0.04785895646</v>
      </c>
      <c r="I5" s="15">
        <f t="shared" si="2"/>
        <v>0.04785895646</v>
      </c>
      <c r="J5" s="15">
        <f t="shared" si="2"/>
        <v>0.04785895646</v>
      </c>
      <c r="K5" s="15">
        <f t="shared" si="2"/>
        <v>0.04785895646</v>
      </c>
      <c r="L5" s="15">
        <f t="shared" si="2"/>
        <v>0.04785895646</v>
      </c>
      <c r="M5" s="15">
        <f t="shared" si="2"/>
        <v>0.04785895646</v>
      </c>
      <c r="N5" s="15">
        <f t="shared" si="2"/>
        <v>0.04785895646</v>
      </c>
      <c r="O5" s="15">
        <f t="shared" si="2"/>
        <v>0.04785895646</v>
      </c>
      <c r="P5" s="15">
        <f t="shared" si="2"/>
        <v>0.04785895646</v>
      </c>
      <c r="Q5" s="15">
        <f t="shared" si="2"/>
        <v>0.04785895646</v>
      </c>
      <c r="R5" s="15">
        <f t="shared" si="2"/>
        <v>0.04785895646</v>
      </c>
      <c r="S5" s="15">
        <f t="shared" si="2"/>
        <v>0.04785895646</v>
      </c>
      <c r="T5" s="15">
        <f t="shared" si="2"/>
        <v>0.04785895646</v>
      </c>
      <c r="U5" s="15">
        <f t="shared" si="2"/>
        <v>0.04785895646</v>
      </c>
      <c r="V5" s="15">
        <f t="shared" si="2"/>
        <v>0.04785895646</v>
      </c>
      <c r="W5" s="16">
        <v>0.04785895646476928</v>
      </c>
      <c r="X5" s="16">
        <v>0.055056111465988045</v>
      </c>
      <c r="Y5" s="16">
        <v>0.06460266667137121</v>
      </c>
      <c r="Z5" s="16">
        <v>0.055591448438233465</v>
      </c>
      <c r="AA5" s="16">
        <v>0.07193408074275123</v>
      </c>
      <c r="AB5" s="16">
        <v>0.0631510422618128</v>
      </c>
      <c r="AC5" s="16">
        <v>0.06905583897631934</v>
      </c>
      <c r="AD5" s="16">
        <v>0.05717776539331161</v>
      </c>
      <c r="AE5" s="16">
        <v>0.07364212934779066</v>
      </c>
      <c r="AF5" s="16">
        <v>0.08067514632844516</v>
      </c>
    </row>
    <row r="6">
      <c r="A6" s="1" t="s">
        <v>137</v>
      </c>
      <c r="B6" s="14"/>
      <c r="C6" s="17">
        <f t="shared" ref="C6:V6" si="3">C5*C4</f>
        <v>468835000</v>
      </c>
      <c r="D6" s="17">
        <f t="shared" si="3"/>
        <v>468835000</v>
      </c>
      <c r="E6" s="17">
        <f t="shared" si="3"/>
        <v>468835000</v>
      </c>
      <c r="F6" s="17">
        <f t="shared" si="3"/>
        <v>468835000</v>
      </c>
      <c r="G6" s="17">
        <f t="shared" si="3"/>
        <v>468835000</v>
      </c>
      <c r="H6" s="17">
        <f t="shared" si="3"/>
        <v>468835000</v>
      </c>
      <c r="I6" s="17">
        <f t="shared" si="3"/>
        <v>468835000</v>
      </c>
      <c r="J6" s="17">
        <f t="shared" si="3"/>
        <v>468835000</v>
      </c>
      <c r="K6" s="17">
        <f t="shared" si="3"/>
        <v>468835000</v>
      </c>
      <c r="L6" s="17">
        <f t="shared" si="3"/>
        <v>468835000</v>
      </c>
      <c r="M6" s="17">
        <f t="shared" si="3"/>
        <v>468835000</v>
      </c>
      <c r="N6" s="17">
        <f t="shared" si="3"/>
        <v>468835000</v>
      </c>
      <c r="O6" s="17">
        <f t="shared" si="3"/>
        <v>468835000</v>
      </c>
      <c r="P6" s="17">
        <f t="shared" si="3"/>
        <v>468835000</v>
      </c>
      <c r="Q6" s="17">
        <f t="shared" si="3"/>
        <v>468835000</v>
      </c>
      <c r="R6" s="17">
        <f t="shared" si="3"/>
        <v>468835000</v>
      </c>
      <c r="S6" s="17">
        <f t="shared" si="3"/>
        <v>468835000</v>
      </c>
      <c r="T6" s="17">
        <f t="shared" si="3"/>
        <v>468835000</v>
      </c>
      <c r="U6" s="17">
        <f t="shared" si="3"/>
        <v>468835000</v>
      </c>
      <c r="V6" s="17">
        <f t="shared" si="3"/>
        <v>468835000</v>
      </c>
      <c r="W6" s="18">
        <v>4.68835E8</v>
      </c>
      <c r="X6" s="18">
        <v>5.1438E8</v>
      </c>
      <c r="Y6" s="18">
        <v>6.59135E8</v>
      </c>
      <c r="Z6" s="18">
        <v>5.26167E8</v>
      </c>
      <c r="AA6" s="18">
        <v>6.7803E8</v>
      </c>
      <c r="AB6" s="18">
        <v>5.52657E8</v>
      </c>
      <c r="AC6" s="18">
        <v>5.97433E8</v>
      </c>
      <c r="AD6" s="18">
        <v>4.87031E8</v>
      </c>
      <c r="AE6" s="18">
        <v>6.37019E8</v>
      </c>
      <c r="AF6" s="18">
        <v>6.77749E8</v>
      </c>
    </row>
    <row r="7">
      <c r="A7" s="1" t="s">
        <v>138</v>
      </c>
      <c r="B7" s="19">
        <f t="shared" ref="B7:V7" si="4">C7</f>
        <v>219952000</v>
      </c>
      <c r="C7" s="19">
        <f t="shared" si="4"/>
        <v>219952000</v>
      </c>
      <c r="D7" s="19">
        <f t="shared" si="4"/>
        <v>219952000</v>
      </c>
      <c r="E7" s="19">
        <f t="shared" si="4"/>
        <v>219952000</v>
      </c>
      <c r="F7" s="19">
        <f t="shared" si="4"/>
        <v>219952000</v>
      </c>
      <c r="G7" s="19">
        <f t="shared" si="4"/>
        <v>219952000</v>
      </c>
      <c r="H7" s="19">
        <f t="shared" si="4"/>
        <v>219952000</v>
      </c>
      <c r="I7" s="19">
        <f t="shared" si="4"/>
        <v>219952000</v>
      </c>
      <c r="J7" s="19">
        <f t="shared" si="4"/>
        <v>219952000</v>
      </c>
      <c r="K7" s="19">
        <f t="shared" si="4"/>
        <v>219952000</v>
      </c>
      <c r="L7" s="19">
        <f t="shared" si="4"/>
        <v>219952000</v>
      </c>
      <c r="M7" s="19">
        <f t="shared" si="4"/>
        <v>219952000</v>
      </c>
      <c r="N7" s="19">
        <f t="shared" si="4"/>
        <v>219952000</v>
      </c>
      <c r="O7" s="19">
        <f t="shared" si="4"/>
        <v>219952000</v>
      </c>
      <c r="P7" s="19">
        <f t="shared" si="4"/>
        <v>219952000</v>
      </c>
      <c r="Q7" s="19">
        <f t="shared" si="4"/>
        <v>219952000</v>
      </c>
      <c r="R7" s="19">
        <f t="shared" si="4"/>
        <v>219952000</v>
      </c>
      <c r="S7" s="19">
        <f t="shared" si="4"/>
        <v>219952000</v>
      </c>
      <c r="T7" s="19">
        <f t="shared" si="4"/>
        <v>219952000</v>
      </c>
      <c r="U7" s="19">
        <f t="shared" si="4"/>
        <v>219952000</v>
      </c>
      <c r="V7" s="19">
        <f t="shared" si="4"/>
        <v>219952000</v>
      </c>
      <c r="W7" s="20">
        <v>2.19952E8</v>
      </c>
      <c r="X7" s="20">
        <v>2.20107E8</v>
      </c>
      <c r="Y7" s="20">
        <v>2.22426997E8</v>
      </c>
      <c r="Z7" s="20">
        <v>2.25697001E8</v>
      </c>
      <c r="AA7" s="20">
        <v>2.27456E8</v>
      </c>
      <c r="AB7" s="20">
        <v>2.29609E8</v>
      </c>
      <c r="AC7" s="20">
        <v>2.32514997E8</v>
      </c>
      <c r="AD7" s="20">
        <v>2.34026001E8</v>
      </c>
      <c r="AE7" s="20">
        <v>2.36406001E8</v>
      </c>
      <c r="AF7" s="20">
        <v>2.40301001E8</v>
      </c>
    </row>
    <row r="8">
      <c r="A8" s="1" t="s">
        <v>139</v>
      </c>
      <c r="B8" s="14"/>
      <c r="C8" s="12">
        <f t="shared" ref="C8:V8" si="5">C6/C7</f>
        <v>2.131533244</v>
      </c>
      <c r="D8" s="12">
        <f t="shared" si="5"/>
        <v>2.131533244</v>
      </c>
      <c r="E8" s="12">
        <f t="shared" si="5"/>
        <v>2.131533244</v>
      </c>
      <c r="F8" s="12">
        <f t="shared" si="5"/>
        <v>2.131533244</v>
      </c>
      <c r="G8" s="12">
        <f t="shared" si="5"/>
        <v>2.131533244</v>
      </c>
      <c r="H8" s="12">
        <f t="shared" si="5"/>
        <v>2.131533244</v>
      </c>
      <c r="I8" s="12">
        <f t="shared" si="5"/>
        <v>2.131533244</v>
      </c>
      <c r="J8" s="12">
        <f t="shared" si="5"/>
        <v>2.131533244</v>
      </c>
      <c r="K8" s="12">
        <f t="shared" si="5"/>
        <v>2.131533244</v>
      </c>
      <c r="L8" s="12">
        <f t="shared" si="5"/>
        <v>2.131533244</v>
      </c>
      <c r="M8" s="12">
        <f t="shared" si="5"/>
        <v>2.131533244</v>
      </c>
      <c r="N8" s="12">
        <f t="shared" si="5"/>
        <v>2.131533244</v>
      </c>
      <c r="O8" s="12">
        <f t="shared" si="5"/>
        <v>2.131533244</v>
      </c>
      <c r="P8" s="12">
        <f t="shared" si="5"/>
        <v>2.131533244</v>
      </c>
      <c r="Q8" s="12">
        <f t="shared" si="5"/>
        <v>2.131533244</v>
      </c>
      <c r="R8" s="12">
        <f t="shared" si="5"/>
        <v>2.131533244</v>
      </c>
      <c r="S8" s="12">
        <f t="shared" si="5"/>
        <v>2.131533244</v>
      </c>
      <c r="T8" s="12">
        <f t="shared" si="5"/>
        <v>2.131533244</v>
      </c>
      <c r="U8" s="12">
        <f t="shared" si="5"/>
        <v>2.131533244</v>
      </c>
      <c r="V8" s="12">
        <f t="shared" si="5"/>
        <v>2.131533244</v>
      </c>
      <c r="W8" s="13">
        <v>2.131533243616789</v>
      </c>
      <c r="X8" s="13">
        <v>2.336954299499789</v>
      </c>
      <c r="Y8" s="13">
        <v>2.9633767882951725</v>
      </c>
      <c r="Z8" s="13">
        <v>2.3312981460484714</v>
      </c>
      <c r="AA8" s="13">
        <v>2.980928179516038</v>
      </c>
      <c r="AB8" s="13">
        <v>2.406948333906772</v>
      </c>
      <c r="AC8" s="13">
        <v>2.5694385639993795</v>
      </c>
      <c r="AD8" s="13">
        <v>2.081097817844608</v>
      </c>
      <c r="AE8" s="13">
        <v>2.6945974184470893</v>
      </c>
      <c r="AF8" s="13">
        <v>2.820416882075327</v>
      </c>
    </row>
    <row r="9">
      <c r="A9" s="21"/>
      <c r="B9" s="18"/>
    </row>
    <row r="11">
      <c r="A11" s="1" t="s">
        <v>140</v>
      </c>
      <c r="B11" s="21">
        <v>0.05</v>
      </c>
    </row>
    <row r="12">
      <c r="A12" s="1" t="s">
        <v>141</v>
      </c>
      <c r="B12" s="1">
        <v>0.39</v>
      </c>
    </row>
    <row r="13">
      <c r="A13" s="1" t="s">
        <v>142</v>
      </c>
      <c r="B13" s="15">
        <f>1/('DG_quarterly_balance-sheet'!B82/'DG_quarterly_balance-sheet'!B64)</f>
        <v>0.3491772299</v>
      </c>
    </row>
    <row r="14">
      <c r="A14" s="1" t="s">
        <v>143</v>
      </c>
      <c r="B14" s="22">
        <f>1-B13</f>
        <v>0.6508227701</v>
      </c>
    </row>
    <row r="15">
      <c r="A15" s="1" t="s">
        <v>144</v>
      </c>
      <c r="B15" s="15">
        <f>DG_quarterly_pl!C14*4/'DG_quarterly_balance-sheet'!C82</f>
        <v>0.01875160537</v>
      </c>
    </row>
    <row r="16">
      <c r="A16" s="1" t="s">
        <v>145</v>
      </c>
      <c r="B16" s="15">
        <f>B11-B12*(0.1-B11)</f>
        <v>0.0305</v>
      </c>
    </row>
    <row r="17">
      <c r="A17" s="1" t="s">
        <v>146</v>
      </c>
      <c r="B17" s="15">
        <f>(B16*B13)+(B15*B14)</f>
        <v>0.02285387727</v>
      </c>
    </row>
    <row r="18">
      <c r="A18" s="1" t="s">
        <v>147</v>
      </c>
      <c r="B18" s="1">
        <v>0.86</v>
      </c>
    </row>
    <row r="19">
      <c r="A19" s="1" t="s">
        <v>148</v>
      </c>
      <c r="B19" s="17">
        <f t="array" ref="B19">NPV(B17/4,20,C8:U8)</f>
        <v>57.94387525</v>
      </c>
    </row>
    <row r="20">
      <c r="A20" s="1" t="s">
        <v>149</v>
      </c>
      <c r="B20" s="12">
        <f>B4*4*B18/(B7)</f>
        <v>153.210076</v>
      </c>
    </row>
    <row r="21">
      <c r="A21" s="23" t="s">
        <v>150</v>
      </c>
      <c r="B21" s="24">
        <f>B20+B19</f>
        <v>211.1539513</v>
      </c>
    </row>
    <row r="28">
      <c r="A28" s="1" t="s">
        <v>152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3">
      <c r="A3" s="1" t="s">
        <v>133</v>
      </c>
      <c r="B3" s="1" t="s">
        <v>134</v>
      </c>
      <c r="C3" s="3">
        <v>46965.0</v>
      </c>
      <c r="D3" s="3">
        <v>46873.0</v>
      </c>
      <c r="E3" s="3">
        <v>46783.0</v>
      </c>
      <c r="F3" s="3">
        <v>46691.0</v>
      </c>
      <c r="G3" s="3">
        <v>46599.0</v>
      </c>
      <c r="H3" s="3">
        <v>46507.0</v>
      </c>
      <c r="I3" s="3">
        <v>46418.0</v>
      </c>
      <c r="J3" s="3">
        <v>46326.0</v>
      </c>
      <c r="K3" s="3">
        <v>46234.0</v>
      </c>
      <c r="L3" s="3">
        <v>46142.0</v>
      </c>
      <c r="M3" s="3">
        <v>46053.0</v>
      </c>
      <c r="N3" s="3">
        <v>45961.0</v>
      </c>
      <c r="O3" s="3">
        <v>45869.0</v>
      </c>
      <c r="P3" s="3">
        <v>45777.0</v>
      </c>
      <c r="Q3" s="3">
        <v>45688.0</v>
      </c>
      <c r="R3" s="3">
        <v>45596.0</v>
      </c>
      <c r="S3" s="3">
        <v>45504.0</v>
      </c>
      <c r="T3" s="3">
        <v>45412.0</v>
      </c>
      <c r="U3" s="3">
        <v>45322.0</v>
      </c>
      <c r="V3" s="3">
        <v>45230.0</v>
      </c>
      <c r="W3" s="2">
        <f>DG_quarterly_pl!C1</f>
        <v>45138</v>
      </c>
      <c r="X3" s="2">
        <f>DG_quarterly_pl!D1</f>
        <v>45046</v>
      </c>
      <c r="Y3" s="2">
        <f>DG_quarterly_pl!E1</f>
        <v>44957</v>
      </c>
      <c r="Z3" s="3">
        <f>DG_quarterly_pl!F1</f>
        <v>44865</v>
      </c>
      <c r="AA3" s="2">
        <f>DG_quarterly_pl!G1</f>
        <v>44773</v>
      </c>
      <c r="AB3" s="2">
        <f>DG_quarterly_pl!H1</f>
        <v>44681</v>
      </c>
      <c r="AC3" s="2">
        <f>DG_quarterly_pl!I1</f>
        <v>44592</v>
      </c>
      <c r="AD3" s="3">
        <f>DG_quarterly_pl!J1</f>
        <v>44500</v>
      </c>
      <c r="AE3" s="2">
        <f>DG_quarterly_pl!K1</f>
        <v>44408</v>
      </c>
      <c r="AF3" s="2">
        <f>DG_quarterly_pl!L1</f>
        <v>44316</v>
      </c>
    </row>
    <row r="4">
      <c r="A4" s="1" t="s">
        <v>135</v>
      </c>
      <c r="B4" s="12">
        <f t="shared" ref="B4:V4" si="1">C4*0.9905</f>
        <v>8016796844</v>
      </c>
      <c r="C4" s="12">
        <f t="shared" si="1"/>
        <v>8093686870</v>
      </c>
      <c r="D4" s="12">
        <f t="shared" si="1"/>
        <v>8171314356</v>
      </c>
      <c r="E4" s="12">
        <f t="shared" si="1"/>
        <v>8249686377</v>
      </c>
      <c r="F4" s="12">
        <f t="shared" si="1"/>
        <v>8328810072</v>
      </c>
      <c r="G4" s="12">
        <f t="shared" si="1"/>
        <v>8408692652</v>
      </c>
      <c r="H4" s="12">
        <f t="shared" si="1"/>
        <v>8489341396</v>
      </c>
      <c r="I4" s="12">
        <f t="shared" si="1"/>
        <v>8570763650</v>
      </c>
      <c r="J4" s="12">
        <f t="shared" si="1"/>
        <v>8652966835</v>
      </c>
      <c r="K4" s="12">
        <f t="shared" si="1"/>
        <v>8735958441</v>
      </c>
      <c r="L4" s="12">
        <f t="shared" si="1"/>
        <v>8819746028</v>
      </c>
      <c r="M4" s="12">
        <f t="shared" si="1"/>
        <v>8904337231</v>
      </c>
      <c r="N4" s="12">
        <f t="shared" si="1"/>
        <v>8989739759</v>
      </c>
      <c r="O4" s="12">
        <f t="shared" si="1"/>
        <v>9075961392</v>
      </c>
      <c r="P4" s="12">
        <f t="shared" si="1"/>
        <v>9163009987</v>
      </c>
      <c r="Q4" s="12">
        <f t="shared" si="1"/>
        <v>9250893475</v>
      </c>
      <c r="R4" s="12">
        <f t="shared" si="1"/>
        <v>9339619864</v>
      </c>
      <c r="S4" s="12">
        <f t="shared" si="1"/>
        <v>9429197238</v>
      </c>
      <c r="T4" s="12">
        <f t="shared" si="1"/>
        <v>9519633759</v>
      </c>
      <c r="U4" s="12">
        <f t="shared" si="1"/>
        <v>9610937666</v>
      </c>
      <c r="V4" s="12">
        <f t="shared" si="1"/>
        <v>9703117281</v>
      </c>
      <c r="W4" s="13">
        <v>9.796181E9</v>
      </c>
      <c r="X4" s="13">
        <v>9.342832E9</v>
      </c>
      <c r="Y4" s="13">
        <v>1.0202907E10</v>
      </c>
      <c r="Z4" s="13">
        <v>9.464891E9</v>
      </c>
      <c r="AA4" s="13">
        <v>9.425713E9</v>
      </c>
      <c r="AB4" s="13">
        <v>8.751352E9</v>
      </c>
      <c r="AC4" s="13">
        <v>8.651448E9</v>
      </c>
      <c r="AD4" s="13">
        <v>8.517839E9</v>
      </c>
      <c r="AE4" s="13">
        <v>8.650198E9</v>
      </c>
      <c r="AF4" s="13">
        <v>8.400964E9</v>
      </c>
    </row>
    <row r="5">
      <c r="A5" s="1" t="s">
        <v>136</v>
      </c>
      <c r="B5" s="14"/>
      <c r="C5" s="15">
        <f t="shared" ref="C5:U5" si="2">D5</f>
        <v>0.043820696</v>
      </c>
      <c r="D5" s="15">
        <f t="shared" si="2"/>
        <v>0.043820696</v>
      </c>
      <c r="E5" s="15">
        <f t="shared" si="2"/>
        <v>0.043820696</v>
      </c>
      <c r="F5" s="15">
        <f t="shared" si="2"/>
        <v>0.043820696</v>
      </c>
      <c r="G5" s="15">
        <f t="shared" si="2"/>
        <v>0.043820696</v>
      </c>
      <c r="H5" s="15">
        <f t="shared" si="2"/>
        <v>0.043820696</v>
      </c>
      <c r="I5" s="15">
        <f t="shared" si="2"/>
        <v>0.043820696</v>
      </c>
      <c r="J5" s="15">
        <f t="shared" si="2"/>
        <v>0.043820696</v>
      </c>
      <c r="K5" s="15">
        <f t="shared" si="2"/>
        <v>0.043820696</v>
      </c>
      <c r="L5" s="15">
        <f t="shared" si="2"/>
        <v>0.043820696</v>
      </c>
      <c r="M5" s="15">
        <f t="shared" si="2"/>
        <v>0.043820696</v>
      </c>
      <c r="N5" s="15">
        <f t="shared" si="2"/>
        <v>0.043820696</v>
      </c>
      <c r="O5" s="15">
        <f t="shared" si="2"/>
        <v>0.043820696</v>
      </c>
      <c r="P5" s="15">
        <f t="shared" si="2"/>
        <v>0.043820696</v>
      </c>
      <c r="Q5" s="15">
        <f t="shared" si="2"/>
        <v>0.043820696</v>
      </c>
      <c r="R5" s="15">
        <f t="shared" si="2"/>
        <v>0.043820696</v>
      </c>
      <c r="S5" s="15">
        <f t="shared" si="2"/>
        <v>0.043820696</v>
      </c>
      <c r="T5" s="15">
        <f t="shared" si="2"/>
        <v>0.043820696</v>
      </c>
      <c r="U5" s="15">
        <f t="shared" si="2"/>
        <v>0.043820696</v>
      </c>
      <c r="V5" s="15">
        <f>sum(W6:AC6)/sum(W4:AF4)</f>
        <v>0.043820696</v>
      </c>
      <c r="W5" s="16">
        <v>0.04785895646476928</v>
      </c>
      <c r="X5" s="16">
        <v>0.055056111465988045</v>
      </c>
      <c r="Y5" s="16">
        <v>0.06460266667137121</v>
      </c>
      <c r="Z5" s="16">
        <v>0.055591448438233465</v>
      </c>
      <c r="AA5" s="16">
        <v>0.07193408074275123</v>
      </c>
      <c r="AB5" s="16">
        <v>0.0631510422618128</v>
      </c>
      <c r="AC5" s="16">
        <v>0.06905583897631934</v>
      </c>
      <c r="AD5" s="16">
        <v>0.05717776539331161</v>
      </c>
      <c r="AE5" s="16">
        <v>0.07364212934779066</v>
      </c>
      <c r="AF5" s="16">
        <v>0.08067514632844516</v>
      </c>
    </row>
    <row r="6">
      <c r="A6" s="1" t="s">
        <v>137</v>
      </c>
      <c r="B6" s="14"/>
      <c r="C6" s="17">
        <f t="shared" ref="C6:V6" si="3">C5*C4</f>
        <v>354670991.9</v>
      </c>
      <c r="D6" s="17">
        <f t="shared" si="3"/>
        <v>358072682.3</v>
      </c>
      <c r="E6" s="17">
        <f t="shared" si="3"/>
        <v>361506998.8</v>
      </c>
      <c r="F6" s="17">
        <f t="shared" si="3"/>
        <v>364974254.2</v>
      </c>
      <c r="G6" s="17">
        <f t="shared" si="3"/>
        <v>368474764.5</v>
      </c>
      <c r="H6" s="17">
        <f t="shared" si="3"/>
        <v>372008848.6</v>
      </c>
      <c r="I6" s="17">
        <f t="shared" si="3"/>
        <v>375576828.4</v>
      </c>
      <c r="J6" s="17">
        <f t="shared" si="3"/>
        <v>379179029.2</v>
      </c>
      <c r="K6" s="17">
        <f t="shared" si="3"/>
        <v>382815779.1</v>
      </c>
      <c r="L6" s="17">
        <f t="shared" si="3"/>
        <v>386487409.5</v>
      </c>
      <c r="M6" s="17">
        <f t="shared" si="3"/>
        <v>390194254.9</v>
      </c>
      <c r="N6" s="17">
        <f t="shared" si="3"/>
        <v>393936653.1</v>
      </c>
      <c r="O6" s="17">
        <f t="shared" si="3"/>
        <v>397714945.1</v>
      </c>
      <c r="P6" s="17">
        <f t="shared" si="3"/>
        <v>401529475.1</v>
      </c>
      <c r="Q6" s="17">
        <f t="shared" si="3"/>
        <v>405380590.7</v>
      </c>
      <c r="R6" s="17">
        <f t="shared" si="3"/>
        <v>409268642.8</v>
      </c>
      <c r="S6" s="17">
        <f t="shared" si="3"/>
        <v>413193985.7</v>
      </c>
      <c r="T6" s="17">
        <f t="shared" si="3"/>
        <v>417156977</v>
      </c>
      <c r="U6" s="17">
        <f t="shared" si="3"/>
        <v>421157977.8</v>
      </c>
      <c r="V6" s="17">
        <f t="shared" si="3"/>
        <v>425197352.6</v>
      </c>
      <c r="W6" s="18">
        <v>4.68835E8</v>
      </c>
      <c r="X6" s="18">
        <v>5.1438E8</v>
      </c>
      <c r="Y6" s="18">
        <v>6.59135E8</v>
      </c>
      <c r="Z6" s="18">
        <v>5.26167E8</v>
      </c>
      <c r="AA6" s="18">
        <v>6.7803E8</v>
      </c>
      <c r="AB6" s="18">
        <v>5.52657E8</v>
      </c>
      <c r="AC6" s="18">
        <v>5.97433E8</v>
      </c>
      <c r="AD6" s="18">
        <v>4.87031E8</v>
      </c>
      <c r="AE6" s="18">
        <v>6.37019E8</v>
      </c>
      <c r="AF6" s="18">
        <v>6.77749E8</v>
      </c>
    </row>
    <row r="7">
      <c r="A7" s="1" t="s">
        <v>138</v>
      </c>
      <c r="B7" s="19">
        <f t="shared" ref="B7:V7" si="4">C7</f>
        <v>219952000</v>
      </c>
      <c r="C7" s="19">
        <f t="shared" si="4"/>
        <v>219952000</v>
      </c>
      <c r="D7" s="19">
        <f t="shared" si="4"/>
        <v>219952000</v>
      </c>
      <c r="E7" s="19">
        <f t="shared" si="4"/>
        <v>219952000</v>
      </c>
      <c r="F7" s="19">
        <f t="shared" si="4"/>
        <v>219952000</v>
      </c>
      <c r="G7" s="19">
        <f t="shared" si="4"/>
        <v>219952000</v>
      </c>
      <c r="H7" s="19">
        <f t="shared" si="4"/>
        <v>219952000</v>
      </c>
      <c r="I7" s="19">
        <f t="shared" si="4"/>
        <v>219952000</v>
      </c>
      <c r="J7" s="19">
        <f t="shared" si="4"/>
        <v>219952000</v>
      </c>
      <c r="K7" s="19">
        <f t="shared" si="4"/>
        <v>219952000</v>
      </c>
      <c r="L7" s="19">
        <f t="shared" si="4"/>
        <v>219952000</v>
      </c>
      <c r="M7" s="19">
        <f t="shared" si="4"/>
        <v>219952000</v>
      </c>
      <c r="N7" s="19">
        <f t="shared" si="4"/>
        <v>219952000</v>
      </c>
      <c r="O7" s="19">
        <f t="shared" si="4"/>
        <v>219952000</v>
      </c>
      <c r="P7" s="19">
        <f t="shared" si="4"/>
        <v>219952000</v>
      </c>
      <c r="Q7" s="19">
        <f t="shared" si="4"/>
        <v>219952000</v>
      </c>
      <c r="R7" s="19">
        <f t="shared" si="4"/>
        <v>219952000</v>
      </c>
      <c r="S7" s="19">
        <f t="shared" si="4"/>
        <v>219952000</v>
      </c>
      <c r="T7" s="19">
        <f t="shared" si="4"/>
        <v>219952000</v>
      </c>
      <c r="U7" s="19">
        <f t="shared" si="4"/>
        <v>219952000</v>
      </c>
      <c r="V7" s="19">
        <f t="shared" si="4"/>
        <v>219952000</v>
      </c>
      <c r="W7" s="20">
        <v>2.19952E8</v>
      </c>
      <c r="X7" s="20">
        <v>2.20107E8</v>
      </c>
      <c r="Y7" s="20">
        <v>2.22426997E8</v>
      </c>
      <c r="Z7" s="20">
        <v>2.25697001E8</v>
      </c>
      <c r="AA7" s="20">
        <v>2.27456E8</v>
      </c>
      <c r="AB7" s="20">
        <v>2.29609E8</v>
      </c>
      <c r="AC7" s="20">
        <v>2.32514997E8</v>
      </c>
      <c r="AD7" s="20">
        <v>2.34026001E8</v>
      </c>
      <c r="AE7" s="20">
        <v>2.36406001E8</v>
      </c>
      <c r="AF7" s="20">
        <v>2.40301001E8</v>
      </c>
    </row>
    <row r="8">
      <c r="A8" s="1" t="s">
        <v>139</v>
      </c>
      <c r="B8" s="14"/>
      <c r="C8" s="12">
        <f t="shared" ref="C8:V8" si="5">C6/C7</f>
        <v>1.612492689</v>
      </c>
      <c r="D8" s="12">
        <f t="shared" si="5"/>
        <v>1.627958292</v>
      </c>
      <c r="E8" s="12">
        <f t="shared" si="5"/>
        <v>1.643572229</v>
      </c>
      <c r="F8" s="12">
        <f t="shared" si="5"/>
        <v>1.65933592</v>
      </c>
      <c r="G8" s="12">
        <f t="shared" si="5"/>
        <v>1.675250802</v>
      </c>
      <c r="H8" s="12">
        <f t="shared" si="5"/>
        <v>1.691318327</v>
      </c>
      <c r="I8" s="12">
        <f t="shared" si="5"/>
        <v>1.707539956</v>
      </c>
      <c r="J8" s="12">
        <f t="shared" si="5"/>
        <v>1.723917169</v>
      </c>
      <c r="K8" s="12">
        <f t="shared" si="5"/>
        <v>1.740451458</v>
      </c>
      <c r="L8" s="12">
        <f t="shared" si="5"/>
        <v>1.757144329</v>
      </c>
      <c r="M8" s="12">
        <f t="shared" si="5"/>
        <v>1.773997304</v>
      </c>
      <c r="N8" s="12">
        <f t="shared" si="5"/>
        <v>1.791011917</v>
      </c>
      <c r="O8" s="12">
        <f t="shared" si="5"/>
        <v>1.808189719</v>
      </c>
      <c r="P8" s="12">
        <f t="shared" si="5"/>
        <v>1.825532276</v>
      </c>
      <c r="Q8" s="12">
        <f t="shared" si="5"/>
        <v>1.843041167</v>
      </c>
      <c r="R8" s="12">
        <f t="shared" si="5"/>
        <v>1.860717988</v>
      </c>
      <c r="S8" s="12">
        <f t="shared" si="5"/>
        <v>1.878564349</v>
      </c>
      <c r="T8" s="12">
        <f t="shared" si="5"/>
        <v>1.896581877</v>
      </c>
      <c r="U8" s="12">
        <f t="shared" si="5"/>
        <v>1.914772213</v>
      </c>
      <c r="V8" s="12">
        <f t="shared" si="5"/>
        <v>1.933137015</v>
      </c>
      <c r="W8" s="13">
        <v>2.131533243616789</v>
      </c>
      <c r="X8" s="13">
        <v>2.336954299499789</v>
      </c>
      <c r="Y8" s="13">
        <v>2.9633767882951725</v>
      </c>
      <c r="Z8" s="13">
        <v>2.3312981460484714</v>
      </c>
      <c r="AA8" s="13">
        <v>2.980928179516038</v>
      </c>
      <c r="AB8" s="13">
        <v>2.406948333906772</v>
      </c>
      <c r="AC8" s="13">
        <v>2.5694385639993795</v>
      </c>
      <c r="AD8" s="13">
        <v>2.081097817844608</v>
      </c>
      <c r="AE8" s="13">
        <v>2.6945974184470893</v>
      </c>
      <c r="AF8" s="13">
        <v>2.820416882075327</v>
      </c>
    </row>
    <row r="9">
      <c r="A9" s="21"/>
      <c r="B9" s="18"/>
    </row>
    <row r="11">
      <c r="A11" s="1" t="s">
        <v>140</v>
      </c>
      <c r="B11" s="21">
        <v>0.05</v>
      </c>
    </row>
    <row r="12">
      <c r="A12" s="1" t="s">
        <v>141</v>
      </c>
      <c r="B12" s="1">
        <v>0.39</v>
      </c>
    </row>
    <row r="13">
      <c r="A13" s="1" t="s">
        <v>142</v>
      </c>
      <c r="B13" s="15">
        <f>1/('DG_quarterly_balance-sheet'!B82/'DG_quarterly_balance-sheet'!B64)</f>
        <v>0.3491772299</v>
      </c>
    </row>
    <row r="14">
      <c r="A14" s="1" t="s">
        <v>143</v>
      </c>
      <c r="B14" s="22">
        <f>1-B13</f>
        <v>0.6508227701</v>
      </c>
    </row>
    <row r="15">
      <c r="A15" s="1" t="s">
        <v>144</v>
      </c>
      <c r="B15" s="15">
        <f>DG_quarterly_pl!C14*4/'DG_quarterly_balance-sheet'!C82</f>
        <v>0.01875160537</v>
      </c>
    </row>
    <row r="16">
      <c r="A16" s="1" t="s">
        <v>145</v>
      </c>
      <c r="B16" s="15">
        <f>B11-B12*(0.1-B11)</f>
        <v>0.0305</v>
      </c>
    </row>
    <row r="17">
      <c r="A17" s="1" t="s">
        <v>146</v>
      </c>
      <c r="B17" s="15">
        <f>(B16*B13)+(B15*B14)</f>
        <v>0.02285387727</v>
      </c>
    </row>
    <row r="18">
      <c r="A18" s="1" t="s">
        <v>153</v>
      </c>
      <c r="B18" s="1">
        <v>0.75</v>
      </c>
    </row>
    <row r="19">
      <c r="A19" s="1" t="s">
        <v>148</v>
      </c>
      <c r="B19" s="17">
        <f t="array" ref="B19">NPV(B17/4,20,C8:U8)</f>
        <v>51.25103872</v>
      </c>
    </row>
    <row r="20">
      <c r="A20" s="1" t="s">
        <v>149</v>
      </c>
      <c r="B20" s="12">
        <f>B4*4*B18/(B7)</f>
        <v>109.3438138</v>
      </c>
    </row>
    <row r="21">
      <c r="A21" s="23" t="s">
        <v>150</v>
      </c>
      <c r="B21" s="24">
        <f>B20+B19</f>
        <v>160.5948525</v>
      </c>
    </row>
    <row r="28">
      <c r="A28" s="1" t="s">
        <v>154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H4" s="1" t="s">
        <v>155</v>
      </c>
    </row>
    <row r="6">
      <c r="B6" s="1" t="s">
        <v>156</v>
      </c>
    </row>
    <row r="30">
      <c r="B30" s="1" t="s">
        <v>157</v>
      </c>
    </row>
  </sheetData>
  <drawing r:id="rId1"/>
</worksheet>
</file>