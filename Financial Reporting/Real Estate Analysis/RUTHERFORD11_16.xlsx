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52882075933087/Documents/"/>
    </mc:Choice>
  </mc:AlternateContent>
  <xr:revisionPtr revIDLastSave="97" documentId="8_{C3B051A2-63D1-4D61-A1CD-33D11F6126DC}" xr6:coauthVersionLast="47" xr6:coauthVersionMax="47" xr10:uidLastSave="{720C09AF-DECA-4797-862C-5AA1F48FA73C}"/>
  <bookViews>
    <workbookView xWindow="-108" yWindow="-108" windowWidth="23256" windowHeight="12456" xr2:uid="{41944ED2-8FA6-4FCF-8664-2E7D059D30A3}"/>
  </bookViews>
  <sheets>
    <sheet name="Summary" sheetId="1" r:id="rId1"/>
    <sheet name="Comps and Referen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F9" i="1"/>
  <c r="F11" i="1" s="1"/>
  <c r="L3" i="1" s="1"/>
  <c r="P7" i="1"/>
  <c r="O7" i="1"/>
  <c r="N7" i="1"/>
  <c r="M7" i="1"/>
  <c r="F27" i="1"/>
  <c r="F26" i="1"/>
  <c r="F25" i="1"/>
  <c r="F23" i="1"/>
  <c r="F10" i="1" l="1"/>
  <c r="M3" i="1"/>
  <c r="L4" i="1"/>
  <c r="L5" i="1" l="1"/>
  <c r="L8" i="1" s="1"/>
  <c r="M4" i="1"/>
  <c r="N4" i="1" s="1"/>
  <c r="O4" i="1" s="1"/>
  <c r="P4" i="1" s="1"/>
  <c r="Q4" i="1" s="1"/>
  <c r="N3" i="1"/>
  <c r="M5" i="1"/>
  <c r="M10" i="1" s="1"/>
  <c r="F15" i="1" l="1"/>
  <c r="M6" i="1" s="1"/>
  <c r="L10" i="1"/>
  <c r="L6" i="1"/>
  <c r="L9" i="1"/>
  <c r="M8" i="1"/>
  <c r="M9" i="1" s="1"/>
  <c r="O3" i="1"/>
  <c r="N5" i="1"/>
  <c r="N6" i="1" l="1"/>
  <c r="N10" i="1"/>
  <c r="N8" i="1"/>
  <c r="P3" i="1"/>
  <c r="O5" i="1"/>
  <c r="O6" i="1" l="1"/>
  <c r="O10" i="1"/>
  <c r="O8" i="1"/>
  <c r="Q3" i="1"/>
  <c r="Q5" i="1" s="1"/>
  <c r="P5" i="1"/>
  <c r="N9" i="1"/>
  <c r="P6" i="1" l="1"/>
  <c r="P10" i="1"/>
  <c r="Q6" i="1"/>
  <c r="Q7" i="1" s="1"/>
  <c r="Q8" i="1" s="1"/>
  <c r="Q9" i="1" s="1"/>
  <c r="Q10" i="1"/>
  <c r="P8" i="1"/>
  <c r="O9" i="1"/>
  <c r="L12" i="1" l="1"/>
  <c r="P9" i="1"/>
  <c r="L11" i="1"/>
</calcChain>
</file>

<file path=xl/sharedStrings.xml><?xml version="1.0" encoding="utf-8"?>
<sst xmlns="http://schemas.openxmlformats.org/spreadsheetml/2006/main" count="49" uniqueCount="48">
  <si>
    <t>Units</t>
  </si>
  <si>
    <t>Anticipated Avg Rent</t>
  </si>
  <si>
    <t>Optimistic</t>
  </si>
  <si>
    <t xml:space="preserve">Model Start </t>
  </si>
  <si>
    <t>2pm Est 11/16</t>
  </si>
  <si>
    <t>Model End</t>
  </si>
  <si>
    <t xml:space="preserve">Basement Laundry </t>
  </si>
  <si>
    <t>229 Orient Way Unit 3, Rutherford, NJ 07070 | Redfin</t>
  </si>
  <si>
    <t xml:space="preserve">2750 2 Bed 1 b </t>
  </si>
  <si>
    <t xml:space="preserve">Zumper </t>
  </si>
  <si>
    <t>Average Rent in Rutherford, NJ and Rent Price Trends</t>
  </si>
  <si>
    <t>2100 1 bed apt</t>
  </si>
  <si>
    <t>LTV</t>
  </si>
  <si>
    <t xml:space="preserve">Points </t>
  </si>
  <si>
    <t xml:space="preserve">Inspection/Appraisal </t>
  </si>
  <si>
    <t>Rate I/O</t>
  </si>
  <si>
    <t>Docing and Recording</t>
  </si>
  <si>
    <t xml:space="preserve">Landscaping </t>
  </si>
  <si>
    <t xml:space="preserve">Taxes </t>
  </si>
  <si>
    <t xml:space="preserve">Insurance </t>
  </si>
  <si>
    <t>Pest</t>
  </si>
  <si>
    <t xml:space="preserve">Misc Construction </t>
  </si>
  <si>
    <t>PP</t>
  </si>
  <si>
    <t xml:space="preserve">Annual Expenses </t>
  </si>
  <si>
    <t xml:space="preserve">Cash Outflow </t>
  </si>
  <si>
    <t>Cash Inflow</t>
  </si>
  <si>
    <t>Annual Increase</t>
  </si>
  <si>
    <t>Rental Yield</t>
  </si>
  <si>
    <t>Annual Appreciation</t>
  </si>
  <si>
    <t>Exit Costs</t>
  </si>
  <si>
    <t>Realtor Fee</t>
  </si>
  <si>
    <t>IRR</t>
  </si>
  <si>
    <t>NPV</t>
  </si>
  <si>
    <t xml:space="preserve">Cashflow  </t>
  </si>
  <si>
    <t>Transaction Costs &amp; Interest</t>
  </si>
  <si>
    <t>NOI</t>
  </si>
  <si>
    <t xml:space="preserve">Pessimistic </t>
  </si>
  <si>
    <t>Cap Rate Y1</t>
  </si>
  <si>
    <t>Cap Rate Mark To Market</t>
  </si>
  <si>
    <t>DSCR</t>
  </si>
  <si>
    <t>Vacancy</t>
  </si>
  <si>
    <t>The Loffredo Estate - Rutherford, NJ for Sale | LoopNet</t>
  </si>
  <si>
    <t>Asset</t>
  </si>
  <si>
    <t>Rutherford, NJ Housing Data | BestNeighborhood.org</t>
  </si>
  <si>
    <t>NJ Vacancy Rates</t>
  </si>
  <si>
    <t>Rental Vacancy Rate for New Jersey (NJRVAC) | FRED | St. Louis Fed</t>
  </si>
  <si>
    <t>Rutherford Vacancy Rates</t>
  </si>
  <si>
    <t>C0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</si>
</sst>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_(&quot;$&quot;* #,##0_);_(&quot;$&quot;* \(#,##0\);_(&quot;$&quot;* &quot;-&quot;??_);_(@_)"/>
    <numFmt numFmtId="166" formatCode="_([$$-409]* #,##0_);_([$$-409]* \(#,##0\);_([$$-409]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4" fillId="0" borderId="0" xfId="3"/>
    <xf numFmtId="9" fontId="0" fillId="0" borderId="0" xfId="0" applyNumberFormat="1"/>
    <xf numFmtId="164" fontId="0" fillId="0" borderId="0" xfId="0" applyNumberFormat="1"/>
    <xf numFmtId="9" fontId="3" fillId="0" borderId="0" xfId="0" applyNumberFormat="1" applyFont="1"/>
    <xf numFmtId="165" fontId="3" fillId="0" borderId="0" xfId="1" applyNumberFormat="1" applyFont="1"/>
    <xf numFmtId="165" fontId="3" fillId="0" borderId="0" xfId="0" applyNumberFormat="1" applyFont="1"/>
    <xf numFmtId="166" fontId="3" fillId="0" borderId="0" xfId="0" applyNumberFormat="1" applyFont="1"/>
    <xf numFmtId="44" fontId="0" fillId="0" borderId="0" xfId="0" applyNumberFormat="1"/>
    <xf numFmtId="0" fontId="2" fillId="0" borderId="0" xfId="0" applyFont="1"/>
    <xf numFmtId="8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10" fontId="0" fillId="0" borderId="2" xfId="2" applyNumberFormat="1" applyFont="1" applyBorder="1"/>
    <xf numFmtId="10" fontId="0" fillId="0" borderId="1" xfId="2" applyNumberFormat="1" applyFont="1" applyBorder="1"/>
    <xf numFmtId="0" fontId="2" fillId="0" borderId="2" xfId="0" applyFont="1" applyBorder="1"/>
    <xf numFmtId="0" fontId="3" fillId="0" borderId="2" xfId="0" applyFont="1" applyBorder="1"/>
    <xf numFmtId="166" fontId="3" fillId="0" borderId="1" xfId="0" applyNumberFormat="1" applyFont="1" applyBorder="1"/>
    <xf numFmtId="43" fontId="0" fillId="0" borderId="0" xfId="4" applyFont="1"/>
    <xf numFmtId="10" fontId="3" fillId="0" borderId="0" xfId="2" applyNumberFormat="1" applyFont="1"/>
    <xf numFmtId="0" fontId="0" fillId="0" borderId="0" xfId="0" applyBorder="1"/>
    <xf numFmtId="0" fontId="0" fillId="0" borderId="3" xfId="0" applyBorder="1"/>
    <xf numFmtId="10" fontId="3" fillId="0" borderId="3" xfId="2" applyNumberFormat="1" applyFont="1" applyBorder="1"/>
  </cellXfs>
  <cellStyles count="5">
    <cellStyle name="Comma" xfId="4" builtinId="3"/>
    <cellStyle name="Currency" xfId="1" builtinId="4"/>
    <cellStyle name="Hyperlink" xfId="3" builtinId="8"/>
    <cellStyle name="Normal" xfId="0" builtinId="0"/>
    <cellStyle name="Percent" xfId="2" builtinId="5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228068</xdr:colOff>
      <xdr:row>0</xdr:row>
      <xdr:rowOff>129541</xdr:rowOff>
    </xdr:from>
    <xdr:to>
      <xdr:col>8</xdr:col>
      <xdr:colOff>559527</xdr:colOff>
      <xdr:row>16</xdr:row>
      <xdr:rowOff>129541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65DC13-0929-780D-0095-F2C5E1970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068" y="129541"/>
          <a:ext cx="5208259" cy="292608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pnet.com/Listing/The-Loffredo-Estate/35046991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estneighborhood.org/housing-data-in-rutherford-nj/" TargetMode="External"/><Relationship Id="rId2" Type="http://schemas.openxmlformats.org/officeDocument/2006/relationships/hyperlink" Target="https://www.zumper.com/rent-research/rutherford-nj" TargetMode="External"/><Relationship Id="rId1" Type="http://schemas.openxmlformats.org/officeDocument/2006/relationships/hyperlink" Target="https://www.redfin.com/NJ/Rutherford/229-Orient-Way-07070/unit-3/apartment/191857697?oem=b_rent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fred.stlouisfed.org/series/NJRV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B28B-900F-4C39-AD8A-800D774AB413}">
  <dimension ref="E2:Q30"/>
  <sheetViews>
    <sheetView showGridLines="0" tabSelected="1" workbookViewId="0">
      <selection activeCell="H15" sqref="H15"/>
    </sheetView>
  </sheetViews>
  <sheetFormatPr defaultRowHeight="14.4" x14ac:dyDescent="0.3"/>
  <cols>
    <col min="5" max="5" width="18.109375" bestFit="1" customWidth="1"/>
    <col min="6" max="6" width="16.88671875" bestFit="1" customWidth="1"/>
    <col min="11" max="11" width="23.6640625" bestFit="1" customWidth="1"/>
    <col min="12" max="17" width="13.88671875" bestFit="1" customWidth="1"/>
  </cols>
  <sheetData>
    <row r="2" spans="5:17" x14ac:dyDescent="0.3">
      <c r="L2" s="1">
        <v>0</v>
      </c>
      <c r="M2" s="1">
        <v>1</v>
      </c>
      <c r="N2" s="1">
        <v>2</v>
      </c>
      <c r="O2" s="1">
        <v>3</v>
      </c>
      <c r="P2" s="1">
        <v>4</v>
      </c>
      <c r="Q2" s="1">
        <v>5</v>
      </c>
    </row>
    <row r="3" spans="5:17" x14ac:dyDescent="0.3">
      <c r="E3" t="s">
        <v>3</v>
      </c>
      <c r="F3" t="s">
        <v>4</v>
      </c>
      <c r="K3" t="s">
        <v>25</v>
      </c>
      <c r="L3" s="4">
        <f>F11*F7*12</f>
        <v>262086</v>
      </c>
      <c r="M3" s="4">
        <f>L3*(1+$F$12)</f>
        <v>272569.44</v>
      </c>
      <c r="N3" s="4">
        <f t="shared" ref="N3:Q3" si="0">M3*(1+$F$12)</f>
        <v>283472.21760000003</v>
      </c>
      <c r="O3" s="4">
        <f t="shared" si="0"/>
        <v>294811.10630400002</v>
      </c>
      <c r="P3" s="4">
        <f t="shared" si="0"/>
        <v>306603.55055616004</v>
      </c>
      <c r="Q3" s="4">
        <f t="shared" si="0"/>
        <v>318867.69257840648</v>
      </c>
    </row>
    <row r="4" spans="5:17" x14ac:dyDescent="0.3">
      <c r="E4" t="s">
        <v>5</v>
      </c>
      <c r="K4" t="s">
        <v>24</v>
      </c>
      <c r="L4" s="9">
        <f>SUM($F$25:$F$27)+$F$23+($F$24*$F$14)</f>
        <v>68600</v>
      </c>
      <c r="M4" s="9">
        <f>L4*(1+F28)</f>
        <v>69972</v>
      </c>
      <c r="N4" s="9">
        <f t="shared" ref="N4:Q4" si="1">M4*(1+G27)</f>
        <v>69972</v>
      </c>
      <c r="O4" s="9">
        <f t="shared" si="1"/>
        <v>69972</v>
      </c>
      <c r="P4" s="9">
        <f t="shared" si="1"/>
        <v>69972</v>
      </c>
      <c r="Q4" s="9">
        <f t="shared" si="1"/>
        <v>69972</v>
      </c>
    </row>
    <row r="5" spans="5:17" ht="15" thickBot="1" x14ac:dyDescent="0.35">
      <c r="E5" s="22"/>
      <c r="F5" s="22"/>
      <c r="K5" s="12" t="s">
        <v>35</v>
      </c>
      <c r="L5" s="13">
        <f t="shared" ref="L5:Q5" si="2">L3-L4</f>
        <v>193486</v>
      </c>
      <c r="M5" s="13">
        <f t="shared" si="2"/>
        <v>202597.44</v>
      </c>
      <c r="N5" s="13">
        <f t="shared" si="2"/>
        <v>213500.21760000003</v>
      </c>
      <c r="O5" s="13">
        <f t="shared" si="2"/>
        <v>224839.10630400002</v>
      </c>
      <c r="P5" s="13">
        <f t="shared" si="2"/>
        <v>236631.55055616004</v>
      </c>
      <c r="Q5" s="13">
        <f t="shared" si="2"/>
        <v>248895.69257840648</v>
      </c>
    </row>
    <row r="6" spans="5:17" x14ac:dyDescent="0.3">
      <c r="E6" s="22" t="s">
        <v>42</v>
      </c>
      <c r="F6" s="22" t="s">
        <v>41</v>
      </c>
      <c r="K6" t="s">
        <v>38</v>
      </c>
      <c r="L6" s="4">
        <f t="shared" ref="L6:Q6" si="3">L5/$F$15</f>
        <v>3350000</v>
      </c>
      <c r="M6" s="4">
        <f t="shared" si="3"/>
        <v>3507754.6902618278</v>
      </c>
      <c r="N6" s="4">
        <f t="shared" si="3"/>
        <v>3696524.4460064298</v>
      </c>
      <c r="O6" s="4">
        <f t="shared" si="3"/>
        <v>3892844.9919808153</v>
      </c>
      <c r="P6" s="4">
        <f t="shared" si="3"/>
        <v>4097018.3597941771</v>
      </c>
      <c r="Q6" s="4">
        <f t="shared" si="3"/>
        <v>4309358.6623200737</v>
      </c>
    </row>
    <row r="7" spans="5:17" x14ac:dyDescent="0.3">
      <c r="E7" t="s">
        <v>0</v>
      </c>
      <c r="F7" s="1">
        <v>11</v>
      </c>
      <c r="K7" t="s">
        <v>34</v>
      </c>
      <c r="L7" s="4">
        <f>$F$19*$F$17*$F$14+$F$18*$F$17*$F$14+((1-$F$17)*$F$14)+$F$20+$F$21</f>
        <v>860599.99999999988</v>
      </c>
      <c r="M7" s="4">
        <f>$F$18*$F$17*$F$14</f>
        <v>160800</v>
      </c>
      <c r="N7" s="4">
        <f t="shared" ref="N7:P7" si="4">$F$18*$F$17*$F$14</f>
        <v>160800</v>
      </c>
      <c r="O7" s="4">
        <f t="shared" si="4"/>
        <v>160800</v>
      </c>
      <c r="P7" s="4">
        <f t="shared" si="4"/>
        <v>160800</v>
      </c>
      <c r="Q7" s="4">
        <f>$F$18*$F$17*$F$14+Q6*F30+F14*F17</f>
        <v>3099361.5197392046</v>
      </c>
    </row>
    <row r="8" spans="5:17" ht="15" thickBot="1" x14ac:dyDescent="0.35">
      <c r="E8" t="s">
        <v>40</v>
      </c>
      <c r="F8" s="21">
        <v>0.05</v>
      </c>
      <c r="K8" s="12" t="s">
        <v>33</v>
      </c>
      <c r="L8" s="13">
        <f>L5-L7</f>
        <v>-667113.99999999988</v>
      </c>
      <c r="M8" s="13">
        <f>M5-M7</f>
        <v>41797.440000000002</v>
      </c>
      <c r="N8" s="13">
        <f>N5-N7</f>
        <v>52700.217600000033</v>
      </c>
      <c r="O8" s="13">
        <f>O5-O7</f>
        <v>64039.106304000015</v>
      </c>
      <c r="P8" s="13">
        <f>P5-P7</f>
        <v>75831.550556160044</v>
      </c>
      <c r="Q8" s="13">
        <f>Q6+Q5-Q7</f>
        <v>1458892.8351592752</v>
      </c>
    </row>
    <row r="9" spans="5:17" x14ac:dyDescent="0.3">
      <c r="E9" t="s">
        <v>1</v>
      </c>
      <c r="F9" s="8">
        <f>2000*(1-F8)</f>
        <v>1900</v>
      </c>
      <c r="K9" s="14" t="s">
        <v>27</v>
      </c>
      <c r="L9" s="15">
        <f>L8/$F$14</f>
        <v>-0.19913850746268652</v>
      </c>
      <c r="M9" s="15">
        <f t="shared" ref="M9:Q9" si="5">M8/$F$14</f>
        <v>1.2476847761194031E-2</v>
      </c>
      <c r="N9" s="15">
        <f t="shared" si="5"/>
        <v>1.5731408238805981E-2</v>
      </c>
      <c r="O9" s="15">
        <f t="shared" si="5"/>
        <v>1.9116151135522393E-2</v>
      </c>
      <c r="P9" s="15">
        <f t="shared" si="5"/>
        <v>2.2636283748107475E-2</v>
      </c>
      <c r="Q9" s="15">
        <f t="shared" si="5"/>
        <v>0.43549039855500754</v>
      </c>
    </row>
    <row r="10" spans="5:17" x14ac:dyDescent="0.3">
      <c r="E10" t="s">
        <v>36</v>
      </c>
      <c r="F10" s="8">
        <f>(1-F8)*(F9*0.9)</f>
        <v>1624.5</v>
      </c>
      <c r="K10" t="s">
        <v>39</v>
      </c>
      <c r="L10" s="20">
        <f>L5/($F$18*$F$14)</f>
        <v>0.96261691542288552</v>
      </c>
      <c r="M10" s="20">
        <f t="shared" ref="M10:Q10" si="6">M5/($F$18*$F$14)</f>
        <v>1.0079474626865672</v>
      </c>
      <c r="N10" s="20">
        <f t="shared" si="6"/>
        <v>1.062190137313433</v>
      </c>
      <c r="O10" s="20">
        <f t="shared" si="6"/>
        <v>1.1186025189253732</v>
      </c>
      <c r="P10" s="20">
        <f t="shared" si="6"/>
        <v>1.1772713958017913</v>
      </c>
      <c r="Q10" s="20">
        <f t="shared" si="6"/>
        <v>1.238287027753266</v>
      </c>
    </row>
    <row r="11" spans="5:17" x14ac:dyDescent="0.3">
      <c r="E11" t="s">
        <v>2</v>
      </c>
      <c r="F11" s="8">
        <f>(F9*1.1)*(1-F8)</f>
        <v>1985.5</v>
      </c>
      <c r="K11" t="s">
        <v>31</v>
      </c>
      <c r="L11" s="3">
        <f>IRR(L8:Q8)</f>
        <v>0.22479488257432689</v>
      </c>
    </row>
    <row r="12" spans="5:17" x14ac:dyDescent="0.3">
      <c r="E12" t="s">
        <v>26</v>
      </c>
      <c r="F12" s="21">
        <v>0.04</v>
      </c>
      <c r="K12" t="s">
        <v>32</v>
      </c>
      <c r="L12" s="11">
        <f>NPV(0.1,L8:Q8)</f>
        <v>382002.48977511405</v>
      </c>
    </row>
    <row r="13" spans="5:17" x14ac:dyDescent="0.3">
      <c r="E13" t="s">
        <v>28</v>
      </c>
      <c r="F13" s="21">
        <v>0.03</v>
      </c>
    </row>
    <row r="14" spans="5:17" x14ac:dyDescent="0.3">
      <c r="E14" t="s">
        <v>22</v>
      </c>
      <c r="F14" s="6">
        <v>3350000</v>
      </c>
    </row>
    <row r="15" spans="5:17" ht="15" thickBot="1" x14ac:dyDescent="0.35">
      <c r="E15" s="12" t="s">
        <v>37</v>
      </c>
      <c r="F15" s="16">
        <f>L5/$F$14</f>
        <v>5.7757014925373135E-2</v>
      </c>
    </row>
    <row r="16" spans="5:17" x14ac:dyDescent="0.3">
      <c r="E16" s="17" t="s">
        <v>47</v>
      </c>
      <c r="F16" s="18"/>
    </row>
    <row r="17" spans="5:6" x14ac:dyDescent="0.3">
      <c r="E17" t="s">
        <v>12</v>
      </c>
      <c r="F17" s="5">
        <v>0.8</v>
      </c>
    </row>
    <row r="18" spans="5:6" x14ac:dyDescent="0.3">
      <c r="E18" t="s">
        <v>15</v>
      </c>
      <c r="F18" s="21">
        <v>0.06</v>
      </c>
    </row>
    <row r="19" spans="5:6" x14ac:dyDescent="0.3">
      <c r="E19" t="s">
        <v>13</v>
      </c>
      <c r="F19" s="21">
        <v>0.01</v>
      </c>
    </row>
    <row r="20" spans="5:6" x14ac:dyDescent="0.3">
      <c r="E20" t="s">
        <v>14</v>
      </c>
      <c r="F20" s="8">
        <v>1500</v>
      </c>
    </row>
    <row r="21" spans="5:6" ht="15" thickBot="1" x14ac:dyDescent="0.35">
      <c r="E21" s="12" t="s">
        <v>16</v>
      </c>
      <c r="F21" s="19">
        <v>1500</v>
      </c>
    </row>
    <row r="22" spans="5:6" x14ac:dyDescent="0.3">
      <c r="E22" s="10" t="s">
        <v>23</v>
      </c>
      <c r="F22" s="1"/>
    </row>
    <row r="23" spans="5:6" x14ac:dyDescent="0.3">
      <c r="E23" t="s">
        <v>17</v>
      </c>
      <c r="F23" s="8">
        <f>1000*12</f>
        <v>12000</v>
      </c>
    </row>
    <row r="24" spans="5:6" x14ac:dyDescent="0.3">
      <c r="E24" t="s">
        <v>18</v>
      </c>
      <c r="F24" s="21">
        <v>0.01</v>
      </c>
    </row>
    <row r="25" spans="5:6" x14ac:dyDescent="0.3">
      <c r="E25" t="s">
        <v>19</v>
      </c>
      <c r="F25" s="7">
        <f>1100*F7</f>
        <v>12100</v>
      </c>
    </row>
    <row r="26" spans="5:6" x14ac:dyDescent="0.3">
      <c r="E26" t="s">
        <v>20</v>
      </c>
      <c r="F26" s="7">
        <f>500*F7</f>
        <v>5500</v>
      </c>
    </row>
    <row r="27" spans="5:6" x14ac:dyDescent="0.3">
      <c r="E27" t="s">
        <v>21</v>
      </c>
      <c r="F27" s="7">
        <f>500*F7</f>
        <v>5500</v>
      </c>
    </row>
    <row r="28" spans="5:6" ht="15" thickBot="1" x14ac:dyDescent="0.35">
      <c r="E28" s="23" t="s">
        <v>26</v>
      </c>
      <c r="F28" s="24">
        <v>0.02</v>
      </c>
    </row>
    <row r="29" spans="5:6" ht="15" thickTop="1" x14ac:dyDescent="0.3">
      <c r="E29" s="22" t="s">
        <v>29</v>
      </c>
      <c r="F29" s="22"/>
    </row>
    <row r="30" spans="5:6" x14ac:dyDescent="0.3">
      <c r="E30" t="s">
        <v>30</v>
      </c>
      <c r="F30" s="21">
        <v>0.06</v>
      </c>
    </row>
  </sheetData>
  <conditionalFormatting sqref="L8:Q8">
    <cfRule type="cellIs" dxfId="0" priority="1" operator="lessThan">
      <formula>0</formula>
    </cfRule>
  </conditionalFormatting>
  <hyperlinks>
    <hyperlink ref="F6" r:id="rId1" display="https://www.loopnet.com/Listing/The-Loffredo-Estate/35046991/" xr:uid="{8F6D0DD9-D4F2-4DD0-9FB8-45B21132B3A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CC42-2869-4031-9AA4-E2C50D9BA14B}">
  <dimension ref="K3:L9"/>
  <sheetViews>
    <sheetView workbookViewId="0">
      <selection activeCell="L3" sqref="L3"/>
    </sheetView>
  </sheetViews>
  <sheetFormatPr defaultRowHeight="14.4" x14ac:dyDescent="0.3"/>
  <cols>
    <col min="11" max="11" width="22" bestFit="1" customWidth="1"/>
  </cols>
  <sheetData>
    <row r="3" spans="11:12" x14ac:dyDescent="0.3">
      <c r="L3" t="s">
        <v>6</v>
      </c>
    </row>
    <row r="4" spans="11:12" x14ac:dyDescent="0.3">
      <c r="K4" t="s">
        <v>8</v>
      </c>
      <c r="L4" s="2" t="s">
        <v>7</v>
      </c>
    </row>
    <row r="5" spans="11:12" x14ac:dyDescent="0.3">
      <c r="L5" t="s">
        <v>9</v>
      </c>
    </row>
    <row r="6" spans="11:12" x14ac:dyDescent="0.3">
      <c r="K6" t="s">
        <v>11</v>
      </c>
      <c r="L6" s="2" t="s">
        <v>10</v>
      </c>
    </row>
    <row r="8" spans="11:12" x14ac:dyDescent="0.3">
      <c r="K8" t="s">
        <v>46</v>
      </c>
      <c r="L8" s="2" t="s">
        <v>43</v>
      </c>
    </row>
    <row r="9" spans="11:12" x14ac:dyDescent="0.3">
      <c r="K9" t="s">
        <v>44</v>
      </c>
      <c r="L9" s="2" t="s">
        <v>45</v>
      </c>
    </row>
  </sheetData>
  <hyperlinks>
    <hyperlink ref="L4" r:id="rId1" display="https://www.redfin.com/NJ/Rutherford/229-Orient-Way-07070/unit-3/apartment/191857697?oem=b_rent" xr:uid="{FC5D4534-BCE6-46DB-9EB0-74268A5C8F75}"/>
    <hyperlink ref="L6" r:id="rId2" display="https://www.zumper.com/rent-research/rutherford-nj" xr:uid="{1CD8DD1B-CCAF-4DE9-A1BB-2641E085BF13}"/>
    <hyperlink ref="L8" r:id="rId3" display="https://bestneighborhood.org/housing-data-in-rutherford-nj/" xr:uid="{F11A33BA-46EF-4B3B-8B56-51C851A5C7BC}"/>
    <hyperlink ref="L9" r:id="rId4" display="https://fred.stlouisfed.org/series/NJRVAC" xr:uid="{B746F05E-4984-4299-8090-5DCCC8B6C6C5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Comps and 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ROTONDELLA</dc:creator>
  <cp:lastModifiedBy>FRANK ROTONDELLA</cp:lastModifiedBy>
  <dcterms:created xsi:type="dcterms:W3CDTF">2025-11-16T19:09:30Z</dcterms:created>
  <dcterms:modified xsi:type="dcterms:W3CDTF">2025-11-17T15:34:10Z</dcterms:modified>
</cp:coreProperties>
</file>